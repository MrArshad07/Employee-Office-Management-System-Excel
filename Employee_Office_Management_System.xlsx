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yya\Downloads\"/>
    </mc:Choice>
  </mc:AlternateContent>
  <xr:revisionPtr revIDLastSave="0" documentId="8_{7CBE1A24-055B-444B-B418-52295312277F}" xr6:coauthVersionLast="47" xr6:coauthVersionMax="47" xr10:uidLastSave="{00000000-0000-0000-0000-000000000000}"/>
  <bookViews>
    <workbookView xWindow="1452" yWindow="540" windowWidth="17280" windowHeight="11760" xr2:uid="{00000000-000D-0000-FFFF-FFFF00000000}"/>
  </bookViews>
  <sheets>
    <sheet name="Employees" sheetId="1" r:id="rId1"/>
    <sheet name="Attendance" sheetId="2" r:id="rId2"/>
    <sheet name="Leave" sheetId="3" r:id="rId3"/>
    <sheet name="Assets" sheetId="4" r:id="rId4"/>
    <sheet name="Documents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B17" i="6"/>
  <c r="B16" i="6"/>
  <c r="B15" i="6"/>
  <c r="E11" i="6"/>
  <c r="E10" i="6"/>
  <c r="E9" i="6"/>
  <c r="B9" i="6"/>
  <c r="E8" i="6"/>
  <c r="B8" i="6"/>
  <c r="E7" i="6"/>
  <c r="B7" i="6"/>
  <c r="E6" i="6"/>
  <c r="B6" i="6"/>
  <c r="E5" i="6"/>
  <c r="B5" i="6"/>
  <c r="E4" i="6"/>
  <c r="B4" i="6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B10" i="6" s="1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501" i="2"/>
  <c r="F500" i="2"/>
  <c r="F498" i="2"/>
  <c r="F497" i="2"/>
  <c r="F496" i="2"/>
  <c r="F495" i="2"/>
  <c r="F493" i="2"/>
  <c r="F492" i="2"/>
  <c r="F491" i="2"/>
  <c r="F490" i="2"/>
  <c r="F488" i="2"/>
  <c r="F487" i="2"/>
  <c r="F486" i="2"/>
  <c r="F485" i="2"/>
  <c r="F483" i="2"/>
  <c r="F482" i="2"/>
  <c r="F481" i="2"/>
  <c r="F480" i="2"/>
  <c r="F478" i="2"/>
  <c r="F477" i="2"/>
  <c r="F476" i="2"/>
  <c r="F475" i="2"/>
  <c r="F473" i="2"/>
  <c r="F472" i="2"/>
  <c r="F471" i="2"/>
  <c r="F470" i="2"/>
  <c r="F468" i="2"/>
  <c r="F467" i="2"/>
  <c r="F466" i="2"/>
  <c r="F465" i="2"/>
  <c r="F463" i="2"/>
  <c r="F462" i="2"/>
  <c r="F461" i="2"/>
  <c r="F460" i="2"/>
  <c r="F458" i="2"/>
  <c r="F457" i="2"/>
  <c r="F456" i="2"/>
  <c r="F455" i="2"/>
  <c r="F453" i="2"/>
  <c r="F452" i="2"/>
  <c r="F451" i="2"/>
  <c r="F450" i="2"/>
  <c r="F448" i="2"/>
  <c r="F447" i="2"/>
  <c r="F446" i="2"/>
  <c r="F445" i="2"/>
  <c r="F443" i="2"/>
  <c r="F442" i="2"/>
  <c r="F441" i="2"/>
  <c r="F440" i="2"/>
  <c r="F438" i="2"/>
  <c r="F437" i="2"/>
  <c r="F436" i="2"/>
  <c r="F435" i="2"/>
  <c r="F433" i="2"/>
  <c r="F432" i="2"/>
  <c r="F431" i="2"/>
  <c r="F430" i="2"/>
  <c r="F428" i="2"/>
  <c r="F427" i="2"/>
  <c r="F426" i="2"/>
  <c r="F425" i="2"/>
  <c r="F423" i="2"/>
  <c r="F422" i="2"/>
  <c r="F421" i="2"/>
  <c r="F420" i="2"/>
  <c r="F418" i="2"/>
  <c r="F417" i="2"/>
  <c r="F416" i="2"/>
  <c r="F415" i="2"/>
  <c r="F413" i="2"/>
  <c r="F412" i="2"/>
  <c r="F411" i="2"/>
  <c r="F410" i="2"/>
  <c r="F408" i="2"/>
  <c r="F407" i="2"/>
  <c r="F406" i="2"/>
  <c r="F405" i="2"/>
  <c r="F403" i="2"/>
  <c r="F402" i="2"/>
  <c r="F401" i="2"/>
  <c r="F400" i="2"/>
  <c r="F398" i="2"/>
  <c r="F397" i="2"/>
  <c r="F396" i="2"/>
  <c r="F395" i="2"/>
  <c r="F393" i="2"/>
  <c r="F392" i="2"/>
  <c r="F391" i="2"/>
  <c r="F390" i="2"/>
  <c r="F388" i="2"/>
  <c r="F387" i="2"/>
  <c r="F386" i="2"/>
  <c r="F385" i="2"/>
  <c r="F383" i="2"/>
  <c r="F382" i="2"/>
  <c r="F381" i="2"/>
  <c r="F380" i="2"/>
  <c r="F378" i="2"/>
  <c r="F377" i="2"/>
  <c r="F376" i="2"/>
  <c r="F375" i="2"/>
  <c r="F373" i="2"/>
  <c r="F372" i="2"/>
  <c r="F371" i="2"/>
  <c r="F370" i="2"/>
  <c r="F368" i="2"/>
  <c r="F367" i="2"/>
  <c r="F366" i="2"/>
  <c r="F365" i="2"/>
  <c r="F363" i="2"/>
  <c r="F362" i="2"/>
  <c r="F361" i="2"/>
  <c r="F360" i="2"/>
  <c r="F358" i="2"/>
  <c r="F357" i="2"/>
  <c r="F356" i="2"/>
  <c r="F355" i="2"/>
  <c r="F353" i="2"/>
  <c r="F352" i="2"/>
  <c r="F351" i="2"/>
  <c r="F350" i="2"/>
  <c r="F348" i="2"/>
  <c r="F347" i="2"/>
  <c r="F346" i="2"/>
  <c r="F345" i="2"/>
  <c r="F343" i="2"/>
  <c r="F342" i="2"/>
  <c r="F341" i="2"/>
  <c r="F340" i="2"/>
  <c r="F338" i="2"/>
  <c r="F337" i="2"/>
  <c r="F336" i="2"/>
  <c r="F335" i="2"/>
  <c r="F333" i="2"/>
  <c r="F332" i="2"/>
  <c r="F331" i="2"/>
  <c r="F330" i="2"/>
  <c r="F328" i="2"/>
  <c r="F327" i="2"/>
  <c r="F326" i="2"/>
  <c r="F325" i="2"/>
  <c r="F323" i="2"/>
  <c r="F322" i="2"/>
  <c r="F321" i="2"/>
  <c r="F320" i="2"/>
  <c r="F318" i="2"/>
  <c r="F317" i="2"/>
  <c r="F316" i="2"/>
  <c r="F315" i="2"/>
  <c r="F313" i="2"/>
  <c r="F312" i="2"/>
  <c r="F311" i="2"/>
  <c r="F310" i="2"/>
  <c r="F308" i="2"/>
  <c r="F307" i="2"/>
  <c r="F306" i="2"/>
  <c r="F305" i="2"/>
  <c r="F303" i="2"/>
  <c r="F302" i="2"/>
  <c r="F301" i="2"/>
  <c r="F300" i="2"/>
  <c r="F298" i="2"/>
  <c r="F297" i="2"/>
  <c r="F296" i="2"/>
  <c r="F295" i="2"/>
  <c r="F293" i="2"/>
  <c r="F292" i="2"/>
  <c r="F291" i="2"/>
  <c r="F290" i="2"/>
  <c r="F288" i="2"/>
  <c r="F287" i="2"/>
  <c r="F286" i="2"/>
  <c r="F285" i="2"/>
  <c r="F283" i="2"/>
  <c r="F282" i="2"/>
  <c r="F281" i="2"/>
  <c r="F280" i="2"/>
  <c r="F278" i="2"/>
  <c r="F277" i="2"/>
  <c r="F276" i="2"/>
  <c r="F275" i="2"/>
  <c r="F273" i="2"/>
  <c r="F272" i="2"/>
  <c r="F271" i="2"/>
  <c r="F270" i="2"/>
  <c r="F268" i="2"/>
  <c r="F267" i="2"/>
  <c r="F266" i="2"/>
  <c r="F265" i="2"/>
  <c r="F263" i="2"/>
  <c r="F262" i="2"/>
  <c r="F261" i="2"/>
  <c r="F260" i="2"/>
  <c r="F258" i="2"/>
  <c r="F257" i="2"/>
  <c r="F256" i="2"/>
  <c r="F255" i="2"/>
  <c r="F253" i="2"/>
  <c r="F252" i="2"/>
  <c r="F251" i="2"/>
  <c r="F250" i="2"/>
  <c r="F248" i="2"/>
  <c r="F247" i="2"/>
  <c r="F246" i="2"/>
  <c r="F245" i="2"/>
  <c r="F243" i="2"/>
  <c r="F242" i="2"/>
  <c r="F241" i="2"/>
  <c r="F240" i="2"/>
  <c r="F238" i="2"/>
  <c r="F237" i="2"/>
  <c r="F236" i="2"/>
  <c r="F235" i="2"/>
  <c r="F233" i="2"/>
  <c r="F232" i="2"/>
  <c r="F231" i="2"/>
  <c r="F230" i="2"/>
  <c r="F228" i="2"/>
  <c r="F227" i="2"/>
  <c r="F226" i="2"/>
  <c r="F225" i="2"/>
  <c r="F223" i="2"/>
  <c r="F222" i="2"/>
  <c r="F221" i="2"/>
  <c r="F220" i="2"/>
  <c r="F218" i="2"/>
  <c r="F217" i="2"/>
  <c r="F216" i="2"/>
  <c r="F215" i="2"/>
  <c r="F213" i="2"/>
  <c r="F212" i="2"/>
  <c r="F211" i="2"/>
  <c r="F210" i="2"/>
  <c r="F208" i="2"/>
  <c r="F207" i="2"/>
  <c r="F206" i="2"/>
  <c r="F205" i="2"/>
  <c r="F203" i="2"/>
  <c r="F202" i="2"/>
  <c r="F201" i="2"/>
  <c r="F200" i="2"/>
  <c r="F198" i="2"/>
  <c r="F197" i="2"/>
  <c r="F196" i="2"/>
  <c r="F195" i="2"/>
  <c r="F193" i="2"/>
  <c r="F192" i="2"/>
  <c r="F191" i="2"/>
  <c r="F190" i="2"/>
  <c r="F188" i="2"/>
  <c r="F187" i="2"/>
  <c r="F186" i="2"/>
  <c r="F185" i="2"/>
  <c r="F183" i="2"/>
  <c r="F182" i="2"/>
  <c r="F181" i="2"/>
  <c r="F180" i="2"/>
  <c r="F178" i="2"/>
  <c r="F177" i="2"/>
  <c r="F176" i="2"/>
  <c r="F175" i="2"/>
  <c r="F173" i="2"/>
  <c r="F172" i="2"/>
  <c r="F171" i="2"/>
  <c r="F170" i="2"/>
  <c r="F168" i="2"/>
  <c r="F167" i="2"/>
  <c r="F166" i="2"/>
  <c r="F165" i="2"/>
  <c r="F163" i="2"/>
  <c r="F162" i="2"/>
  <c r="F161" i="2"/>
  <c r="F160" i="2"/>
  <c r="F158" i="2"/>
  <c r="F157" i="2"/>
  <c r="F156" i="2"/>
  <c r="F155" i="2"/>
  <c r="F153" i="2"/>
  <c r="F152" i="2"/>
  <c r="F151" i="2"/>
  <c r="F150" i="2"/>
  <c r="F148" i="2"/>
  <c r="F147" i="2"/>
  <c r="F146" i="2"/>
  <c r="F145" i="2"/>
  <c r="F143" i="2"/>
  <c r="F142" i="2"/>
  <c r="F141" i="2"/>
  <c r="F140" i="2"/>
  <c r="F138" i="2"/>
  <c r="F137" i="2"/>
  <c r="F136" i="2"/>
  <c r="F135" i="2"/>
  <c r="F133" i="2"/>
  <c r="F132" i="2"/>
  <c r="F131" i="2"/>
  <c r="F130" i="2"/>
  <c r="F128" i="2"/>
  <c r="F127" i="2"/>
  <c r="F126" i="2"/>
  <c r="F125" i="2"/>
  <c r="F123" i="2"/>
  <c r="F122" i="2"/>
  <c r="F121" i="2"/>
  <c r="F120" i="2"/>
  <c r="F118" i="2"/>
  <c r="F117" i="2"/>
  <c r="F116" i="2"/>
  <c r="F115" i="2"/>
  <c r="F113" i="2"/>
  <c r="F112" i="2"/>
  <c r="F111" i="2"/>
  <c r="F110" i="2"/>
  <c r="F108" i="2"/>
  <c r="F107" i="2"/>
  <c r="F106" i="2"/>
  <c r="F105" i="2"/>
  <c r="F103" i="2"/>
  <c r="F102" i="2"/>
  <c r="F101" i="2"/>
  <c r="F100" i="2"/>
  <c r="F98" i="2"/>
  <c r="F97" i="2"/>
  <c r="F96" i="2"/>
  <c r="F95" i="2"/>
  <c r="F93" i="2"/>
  <c r="F92" i="2"/>
  <c r="F91" i="2"/>
  <c r="F90" i="2"/>
  <c r="F88" i="2"/>
  <c r="F87" i="2"/>
  <c r="F86" i="2"/>
  <c r="F85" i="2"/>
  <c r="F83" i="2"/>
  <c r="F82" i="2"/>
  <c r="F81" i="2"/>
  <c r="F80" i="2"/>
  <c r="F78" i="2"/>
  <c r="F77" i="2"/>
  <c r="F76" i="2"/>
  <c r="F75" i="2"/>
  <c r="F73" i="2"/>
  <c r="F72" i="2"/>
  <c r="F71" i="2"/>
  <c r="F70" i="2"/>
  <c r="F68" i="2"/>
  <c r="F67" i="2"/>
  <c r="F66" i="2"/>
  <c r="F65" i="2"/>
  <c r="F63" i="2"/>
  <c r="F62" i="2"/>
  <c r="F61" i="2"/>
  <c r="F60" i="2"/>
  <c r="F58" i="2"/>
  <c r="F57" i="2"/>
  <c r="F56" i="2"/>
  <c r="F55" i="2"/>
  <c r="F53" i="2"/>
  <c r="F52" i="2"/>
  <c r="F51" i="2"/>
  <c r="F50" i="2"/>
  <c r="F48" i="2"/>
  <c r="F47" i="2"/>
  <c r="F46" i="2"/>
  <c r="F45" i="2"/>
  <c r="F43" i="2"/>
  <c r="F42" i="2"/>
  <c r="F41" i="2"/>
  <c r="F40" i="2"/>
  <c r="F38" i="2"/>
  <c r="F37" i="2"/>
  <c r="F36" i="2"/>
  <c r="F35" i="2"/>
  <c r="F33" i="2"/>
  <c r="F32" i="2"/>
  <c r="F31" i="2"/>
  <c r="F30" i="2"/>
  <c r="F28" i="2"/>
  <c r="F27" i="2"/>
  <c r="F26" i="2"/>
  <c r="F25" i="2"/>
  <c r="F23" i="2"/>
  <c r="F22" i="2"/>
  <c r="F21" i="2"/>
  <c r="F20" i="2"/>
  <c r="F18" i="2"/>
  <c r="F17" i="2"/>
  <c r="F16" i="2"/>
  <c r="F15" i="2"/>
  <c r="F13" i="2"/>
  <c r="F12" i="2"/>
  <c r="F11" i="2"/>
  <c r="F10" i="2"/>
  <c r="F8" i="2"/>
  <c r="F7" i="2"/>
  <c r="F6" i="2"/>
  <c r="F5" i="2"/>
  <c r="F3" i="2"/>
  <c r="F2" i="2"/>
  <c r="B11" i="6" s="1"/>
  <c r="E15" i="6" l="1"/>
  <c r="E16" i="6"/>
</calcChain>
</file>

<file path=xl/sharedStrings.xml><?xml version="1.0" encoding="utf-8"?>
<sst xmlns="http://schemas.openxmlformats.org/spreadsheetml/2006/main" count="14571" uniqueCount="3671">
  <si>
    <t>Employee_ID</t>
  </si>
  <si>
    <t>First_Name</t>
  </si>
  <si>
    <t>Last_Name</t>
  </si>
  <si>
    <t>Gender</t>
  </si>
  <si>
    <t>Department</t>
  </si>
  <si>
    <t>Designation</t>
  </si>
  <si>
    <t>Phone</t>
  </si>
  <si>
    <t>Email</t>
  </si>
  <si>
    <t>Joining_Date</t>
  </si>
  <si>
    <t>City</t>
  </si>
  <si>
    <t>Employment_Status</t>
  </si>
  <si>
    <t>EMP0001</t>
  </si>
  <si>
    <t>Rahul</t>
  </si>
  <si>
    <t>Sharma</t>
  </si>
  <si>
    <t>Female</t>
  </si>
  <si>
    <t>HR</t>
  </si>
  <si>
    <t>Recruiter</t>
  </si>
  <si>
    <t>9600000001</t>
  </si>
  <si>
    <t>rahul.sharma1@company.com</t>
  </si>
  <si>
    <t>Mumbai</t>
  </si>
  <si>
    <t>Active</t>
  </si>
  <si>
    <t>EMP0002</t>
  </si>
  <si>
    <t>Priya</t>
  </si>
  <si>
    <t>Patel</t>
  </si>
  <si>
    <t>Male</t>
  </si>
  <si>
    <t>Admin</t>
  </si>
  <si>
    <t>Front Desk Executive</t>
  </si>
  <si>
    <t>9600000002</t>
  </si>
  <si>
    <t>priya.patel2@company.com</t>
  </si>
  <si>
    <t>Nashik</t>
  </si>
  <si>
    <t>EMP0003</t>
  </si>
  <si>
    <t>Amit</t>
  </si>
  <si>
    <t>Gupta</t>
  </si>
  <si>
    <t>Sales</t>
  </si>
  <si>
    <t>Sales Executive</t>
  </si>
  <si>
    <t>9600000003</t>
  </si>
  <si>
    <t>amit.gupta3@company.com</t>
  </si>
  <si>
    <t>Nagpur</t>
  </si>
  <si>
    <t>EMP0004</t>
  </si>
  <si>
    <t>Sneha</t>
  </si>
  <si>
    <t>Singh</t>
  </si>
  <si>
    <t>IT</t>
  </si>
  <si>
    <t>Data Entry Executive</t>
  </si>
  <si>
    <t>9600000004</t>
  </si>
  <si>
    <t>sneha.singh4@company.com</t>
  </si>
  <si>
    <t>Thane</t>
  </si>
  <si>
    <t>Probation</t>
  </si>
  <si>
    <t>EMP0005</t>
  </si>
  <si>
    <t>Rohan</t>
  </si>
  <si>
    <t>Verma</t>
  </si>
  <si>
    <t>Support</t>
  </si>
  <si>
    <t>Support Coordinator</t>
  </si>
  <si>
    <t>9600000005</t>
  </si>
  <si>
    <t>rohan.verma5@company.com</t>
  </si>
  <si>
    <t>Aurangabad</t>
  </si>
  <si>
    <t>Resigned</t>
  </si>
  <si>
    <t>EMP0006</t>
  </si>
  <si>
    <t>Pooja</t>
  </si>
  <si>
    <t>Joshi</t>
  </si>
  <si>
    <t>Finance</t>
  </si>
  <si>
    <t>Accounts Assistant</t>
  </si>
  <si>
    <t>9600000006</t>
  </si>
  <si>
    <t>pooja.joshi6@company.com</t>
  </si>
  <si>
    <t>Solapur</t>
  </si>
  <si>
    <t>EMP0007</t>
  </si>
  <si>
    <t>Arjun</t>
  </si>
  <si>
    <t>Kulkarni</t>
  </si>
  <si>
    <t>Operations</t>
  </si>
  <si>
    <t>Process Coordinator</t>
  </si>
  <si>
    <t>9600000007</t>
  </si>
  <si>
    <t>arjun.kulkarni7@company.com</t>
  </si>
  <si>
    <t>Kolhapur</t>
  </si>
  <si>
    <t>EMP0008</t>
  </si>
  <si>
    <t>Neha</t>
  </si>
  <si>
    <t>Shaikh</t>
  </si>
  <si>
    <t>Marketing</t>
  </si>
  <si>
    <t>Branding Coordinator</t>
  </si>
  <si>
    <t>9600000008</t>
  </si>
  <si>
    <t>neha.shaikh8@company.com</t>
  </si>
  <si>
    <t>Satara</t>
  </si>
  <si>
    <t>EMP0009</t>
  </si>
  <si>
    <t>Karan</t>
  </si>
  <si>
    <t>Khan</t>
  </si>
  <si>
    <t>HR Executive</t>
  </si>
  <si>
    <t>9600000009</t>
  </si>
  <si>
    <t>karan.khan9@company.com</t>
  </si>
  <si>
    <t>Sangli</t>
  </si>
  <si>
    <t>EMP0010</t>
  </si>
  <si>
    <t>Anjali</t>
  </si>
  <si>
    <t>Yadav</t>
  </si>
  <si>
    <t>Office Assistant</t>
  </si>
  <si>
    <t>9600000010</t>
  </si>
  <si>
    <t>anjali.yadav10@company.com</t>
  </si>
  <si>
    <t>Pune</t>
  </si>
  <si>
    <t>EMP0011</t>
  </si>
  <si>
    <t>Vikas</t>
  </si>
  <si>
    <t>More</t>
  </si>
  <si>
    <t>Sales Coordinator</t>
  </si>
  <si>
    <t>9600000011</t>
  </si>
  <si>
    <t>vikas.more11@company.com</t>
  </si>
  <si>
    <t>EMP0012</t>
  </si>
  <si>
    <t>Meera</t>
  </si>
  <si>
    <t>Jadhav</t>
  </si>
  <si>
    <t>IT Support Executive</t>
  </si>
  <si>
    <t>9600000012</t>
  </si>
  <si>
    <t>meera.jadhav12@company.com</t>
  </si>
  <si>
    <t>EMP0013</t>
  </si>
  <si>
    <t>Sahil</t>
  </si>
  <si>
    <t>Patil</t>
  </si>
  <si>
    <t>Helpdesk Executive</t>
  </si>
  <si>
    <t>9600000013</t>
  </si>
  <si>
    <t>sahil.patil13@company.com</t>
  </si>
  <si>
    <t>EMP0014</t>
  </si>
  <si>
    <t>Aisha</t>
  </si>
  <si>
    <t>Deshmukh</t>
  </si>
  <si>
    <t>Finance Executive</t>
  </si>
  <si>
    <t>9600000014</t>
  </si>
  <si>
    <t>aisha.deshmukh14@company.com</t>
  </si>
  <si>
    <t>EMP0015</t>
  </si>
  <si>
    <t>Riya</t>
  </si>
  <si>
    <t>Shinde</t>
  </si>
  <si>
    <t>Operations Executive</t>
  </si>
  <si>
    <t>9600000015</t>
  </si>
  <si>
    <t>riya.shinde15@company.com</t>
  </si>
  <si>
    <t>EMP0016</t>
  </si>
  <si>
    <t>Vivek</t>
  </si>
  <si>
    <t>Mane</t>
  </si>
  <si>
    <t>Digital Marketing Assistant</t>
  </si>
  <si>
    <t>9600000016</t>
  </si>
  <si>
    <t>vivek.mane16@company.com</t>
  </si>
  <si>
    <t>EMP0017</t>
  </si>
  <si>
    <t>Aditya</t>
  </si>
  <si>
    <t>Chavan</t>
  </si>
  <si>
    <t>HR Assistant</t>
  </si>
  <si>
    <t>9600000017</t>
  </si>
  <si>
    <t>aditya.chavan17@company.com</t>
  </si>
  <si>
    <t>EMP0018</t>
  </si>
  <si>
    <t>Nisha</t>
  </si>
  <si>
    <t>Ansari</t>
  </si>
  <si>
    <t>Admin Executive</t>
  </si>
  <si>
    <t>9600000018</t>
  </si>
  <si>
    <t>nisha.ansari18@company.com</t>
  </si>
  <si>
    <t>EMP0019</t>
  </si>
  <si>
    <t>Deepak</t>
  </si>
  <si>
    <t>Rathod</t>
  </si>
  <si>
    <t>Business Development Executive</t>
  </si>
  <si>
    <t>9600000019</t>
  </si>
  <si>
    <t>deepak.rathod19@company.com</t>
  </si>
  <si>
    <t>EMP0020</t>
  </si>
  <si>
    <t>Komal</t>
  </si>
  <si>
    <t>Pawar</t>
  </si>
  <si>
    <t>System Assistant</t>
  </si>
  <si>
    <t>9600000020</t>
  </si>
  <si>
    <t>komal.pawar20@company.com</t>
  </si>
  <si>
    <t>EMP0021</t>
  </si>
  <si>
    <t>Sameer</t>
  </si>
  <si>
    <t>Customer Support Executive</t>
  </si>
  <si>
    <t>9600000021</t>
  </si>
  <si>
    <t>sameer.sharma21@company.com</t>
  </si>
  <si>
    <t>EMP0022</t>
  </si>
  <si>
    <t>Farhan</t>
  </si>
  <si>
    <t>Billing Executive</t>
  </si>
  <si>
    <t>9600000022</t>
  </si>
  <si>
    <t>farhan.patel22@company.com</t>
  </si>
  <si>
    <t>EMP0023</t>
  </si>
  <si>
    <t>Isha</t>
  </si>
  <si>
    <t>Back Office Executive</t>
  </si>
  <si>
    <t>9600000023</t>
  </si>
  <si>
    <t>isha.gupta23@company.com</t>
  </si>
  <si>
    <t>EMP0024</t>
  </si>
  <si>
    <t>Sonia</t>
  </si>
  <si>
    <t>Marketing Executive</t>
  </si>
  <si>
    <t>9600000024</t>
  </si>
  <si>
    <t>sonia.singh24@company.com</t>
  </si>
  <si>
    <t>EMP0025</t>
  </si>
  <si>
    <t>Akash</t>
  </si>
  <si>
    <t>9600000025</t>
  </si>
  <si>
    <t>akash.verma25@company.com</t>
  </si>
  <si>
    <t>EMP0026</t>
  </si>
  <si>
    <t>9600000026</t>
  </si>
  <si>
    <t>rahul.joshi26@company.com</t>
  </si>
  <si>
    <t>EMP0027</t>
  </si>
  <si>
    <t>9600000027</t>
  </si>
  <si>
    <t>priya.kulkarni27@company.com</t>
  </si>
  <si>
    <t>EMP0028</t>
  </si>
  <si>
    <t>9600000028</t>
  </si>
  <si>
    <t>amit.shaikh28@company.com</t>
  </si>
  <si>
    <t>EMP0029</t>
  </si>
  <si>
    <t>9600000029</t>
  </si>
  <si>
    <t>sneha.khan29@company.com</t>
  </si>
  <si>
    <t>EMP0030</t>
  </si>
  <si>
    <t>9600000030</t>
  </si>
  <si>
    <t>rohan.yadav30@company.com</t>
  </si>
  <si>
    <t>EMP0031</t>
  </si>
  <si>
    <t>9600000031</t>
  </si>
  <si>
    <t>pooja.more31@company.com</t>
  </si>
  <si>
    <t>EMP0032</t>
  </si>
  <si>
    <t>9600000032</t>
  </si>
  <si>
    <t>arjun.jadhav32@company.com</t>
  </si>
  <si>
    <t>EMP0033</t>
  </si>
  <si>
    <t>9600000033</t>
  </si>
  <si>
    <t>neha.patil33@company.com</t>
  </si>
  <si>
    <t>EMP0034</t>
  </si>
  <si>
    <t>9600000034</t>
  </si>
  <si>
    <t>karan.deshmukh34@company.com</t>
  </si>
  <si>
    <t>EMP0035</t>
  </si>
  <si>
    <t>9600000035</t>
  </si>
  <si>
    <t>anjali.shinde35@company.com</t>
  </si>
  <si>
    <t>EMP0036</t>
  </si>
  <si>
    <t>9600000036</t>
  </si>
  <si>
    <t>vikas.mane36@company.com</t>
  </si>
  <si>
    <t>EMP0037</t>
  </si>
  <si>
    <t>9600000037</t>
  </si>
  <si>
    <t>meera.chavan37@company.com</t>
  </si>
  <si>
    <t>EMP0038</t>
  </si>
  <si>
    <t>9600000038</t>
  </si>
  <si>
    <t>sahil.ansari38@company.com</t>
  </si>
  <si>
    <t>EMP0039</t>
  </si>
  <si>
    <t>9600000039</t>
  </si>
  <si>
    <t>aisha.rathod39@company.com</t>
  </si>
  <si>
    <t>EMP0040</t>
  </si>
  <si>
    <t>9600000040</t>
  </si>
  <si>
    <t>riya.pawar40@company.com</t>
  </si>
  <si>
    <t>EMP0041</t>
  </si>
  <si>
    <t>9600000041</t>
  </si>
  <si>
    <t>vivek.sharma41@company.com</t>
  </si>
  <si>
    <t>EMP0042</t>
  </si>
  <si>
    <t>9600000042</t>
  </si>
  <si>
    <t>aditya.patel42@company.com</t>
  </si>
  <si>
    <t>EMP0043</t>
  </si>
  <si>
    <t>9600000043</t>
  </si>
  <si>
    <t>nisha.gupta43@company.com</t>
  </si>
  <si>
    <t>EMP0044</t>
  </si>
  <si>
    <t>9600000044</t>
  </si>
  <si>
    <t>deepak.singh44@company.com</t>
  </si>
  <si>
    <t>EMP0045</t>
  </si>
  <si>
    <t>9600000045</t>
  </si>
  <si>
    <t>komal.verma45@company.com</t>
  </si>
  <si>
    <t>EMP0046</t>
  </si>
  <si>
    <t>9600000046</t>
  </si>
  <si>
    <t>sameer.joshi46@company.com</t>
  </si>
  <si>
    <t>EMP0047</t>
  </si>
  <si>
    <t>9600000047</t>
  </si>
  <si>
    <t>farhan.kulkarni47@company.com</t>
  </si>
  <si>
    <t>EMP0048</t>
  </si>
  <si>
    <t>9600000048</t>
  </si>
  <si>
    <t>isha.shaikh48@company.com</t>
  </si>
  <si>
    <t>EMP0049</t>
  </si>
  <si>
    <t>9600000049</t>
  </si>
  <si>
    <t>sonia.khan49@company.com</t>
  </si>
  <si>
    <t>EMP0050</t>
  </si>
  <si>
    <t>9600000050</t>
  </si>
  <si>
    <t>akash.yadav50@company.com</t>
  </si>
  <si>
    <t>EMP0051</t>
  </si>
  <si>
    <t>9600000051</t>
  </si>
  <si>
    <t>rahul.more51@company.com</t>
  </si>
  <si>
    <t>EMP0052</t>
  </si>
  <si>
    <t>9600000052</t>
  </si>
  <si>
    <t>priya.jadhav52@company.com</t>
  </si>
  <si>
    <t>EMP0053</t>
  </si>
  <si>
    <t>9600000053</t>
  </si>
  <si>
    <t>amit.patil53@company.com</t>
  </si>
  <si>
    <t>EMP0054</t>
  </si>
  <si>
    <t>9600000054</t>
  </si>
  <si>
    <t>sneha.deshmukh54@company.com</t>
  </si>
  <si>
    <t>EMP0055</t>
  </si>
  <si>
    <t>9600000055</t>
  </si>
  <si>
    <t>rohan.shinde55@company.com</t>
  </si>
  <si>
    <t>EMP0056</t>
  </si>
  <si>
    <t>9600000056</t>
  </si>
  <si>
    <t>pooja.mane56@company.com</t>
  </si>
  <si>
    <t>EMP0057</t>
  </si>
  <si>
    <t>9600000057</t>
  </si>
  <si>
    <t>arjun.chavan57@company.com</t>
  </si>
  <si>
    <t>EMP0058</t>
  </si>
  <si>
    <t>9600000058</t>
  </si>
  <si>
    <t>neha.ansari58@company.com</t>
  </si>
  <si>
    <t>EMP0059</t>
  </si>
  <si>
    <t>9600000059</t>
  </si>
  <si>
    <t>karan.rathod59@company.com</t>
  </si>
  <si>
    <t>EMP0060</t>
  </si>
  <si>
    <t>9600000060</t>
  </si>
  <si>
    <t>anjali.pawar60@company.com</t>
  </si>
  <si>
    <t>EMP0061</t>
  </si>
  <si>
    <t>9600000061</t>
  </si>
  <si>
    <t>vikas.sharma61@company.com</t>
  </si>
  <si>
    <t>EMP0062</t>
  </si>
  <si>
    <t>9600000062</t>
  </si>
  <si>
    <t>meera.patel62@company.com</t>
  </si>
  <si>
    <t>EMP0063</t>
  </si>
  <si>
    <t>9600000063</t>
  </si>
  <si>
    <t>sahil.gupta63@company.com</t>
  </si>
  <si>
    <t>EMP0064</t>
  </si>
  <si>
    <t>9600000064</t>
  </si>
  <si>
    <t>aisha.singh64@company.com</t>
  </si>
  <si>
    <t>EMP0065</t>
  </si>
  <si>
    <t>9600000065</t>
  </si>
  <si>
    <t>riya.verma65@company.com</t>
  </si>
  <si>
    <t>EMP0066</t>
  </si>
  <si>
    <t>9600000066</t>
  </si>
  <si>
    <t>vivek.joshi66@company.com</t>
  </si>
  <si>
    <t>EMP0067</t>
  </si>
  <si>
    <t>9600000067</t>
  </si>
  <si>
    <t>aditya.kulkarni67@company.com</t>
  </si>
  <si>
    <t>EMP0068</t>
  </si>
  <si>
    <t>9600000068</t>
  </si>
  <si>
    <t>nisha.shaikh68@company.com</t>
  </si>
  <si>
    <t>EMP0069</t>
  </si>
  <si>
    <t>9600000069</t>
  </si>
  <si>
    <t>deepak.khan69@company.com</t>
  </si>
  <si>
    <t>EMP0070</t>
  </si>
  <si>
    <t>9600000070</t>
  </si>
  <si>
    <t>komal.yadav70@company.com</t>
  </si>
  <si>
    <t>EMP0071</t>
  </si>
  <si>
    <t>9600000071</t>
  </si>
  <si>
    <t>sameer.more71@company.com</t>
  </si>
  <si>
    <t>EMP0072</t>
  </si>
  <si>
    <t>9600000072</t>
  </si>
  <si>
    <t>farhan.jadhav72@company.com</t>
  </si>
  <si>
    <t>EMP0073</t>
  </si>
  <si>
    <t>9600000073</t>
  </si>
  <si>
    <t>isha.patil73@company.com</t>
  </si>
  <si>
    <t>EMP0074</t>
  </si>
  <si>
    <t>9600000074</t>
  </si>
  <si>
    <t>sonia.deshmukh74@company.com</t>
  </si>
  <si>
    <t>EMP0075</t>
  </si>
  <si>
    <t>9600000075</t>
  </si>
  <si>
    <t>akash.shinde75@company.com</t>
  </si>
  <si>
    <t>EMP0076</t>
  </si>
  <si>
    <t>9600000076</t>
  </si>
  <si>
    <t>rahul.mane76@company.com</t>
  </si>
  <si>
    <t>EMP0077</t>
  </si>
  <si>
    <t>9600000077</t>
  </si>
  <si>
    <t>priya.chavan77@company.com</t>
  </si>
  <si>
    <t>EMP0078</t>
  </si>
  <si>
    <t>9600000078</t>
  </si>
  <si>
    <t>amit.ansari78@company.com</t>
  </si>
  <si>
    <t>EMP0079</t>
  </si>
  <si>
    <t>9600000079</t>
  </si>
  <si>
    <t>sneha.rathod79@company.com</t>
  </si>
  <si>
    <t>EMP0080</t>
  </si>
  <si>
    <t>9600000080</t>
  </si>
  <si>
    <t>rohan.pawar80@company.com</t>
  </si>
  <si>
    <t>EMP0081</t>
  </si>
  <si>
    <t>9600000081</t>
  </si>
  <si>
    <t>pooja.sharma81@company.com</t>
  </si>
  <si>
    <t>EMP0082</t>
  </si>
  <si>
    <t>9600000082</t>
  </si>
  <si>
    <t>arjun.patel82@company.com</t>
  </si>
  <si>
    <t>EMP0083</t>
  </si>
  <si>
    <t>9600000083</t>
  </si>
  <si>
    <t>neha.gupta83@company.com</t>
  </si>
  <si>
    <t>EMP0084</t>
  </si>
  <si>
    <t>9600000084</t>
  </si>
  <si>
    <t>karan.singh84@company.com</t>
  </si>
  <si>
    <t>EMP0085</t>
  </si>
  <si>
    <t>9600000085</t>
  </si>
  <si>
    <t>anjali.verma85@company.com</t>
  </si>
  <si>
    <t>EMP0086</t>
  </si>
  <si>
    <t>9600000086</t>
  </si>
  <si>
    <t>vikas.joshi86@company.com</t>
  </si>
  <si>
    <t>EMP0087</t>
  </si>
  <si>
    <t>9600000087</t>
  </si>
  <si>
    <t>meera.kulkarni87@company.com</t>
  </si>
  <si>
    <t>EMP0088</t>
  </si>
  <si>
    <t>9600000088</t>
  </si>
  <si>
    <t>sahil.shaikh88@company.com</t>
  </si>
  <si>
    <t>EMP0089</t>
  </si>
  <si>
    <t>9600000089</t>
  </si>
  <si>
    <t>aisha.khan89@company.com</t>
  </si>
  <si>
    <t>EMP0090</t>
  </si>
  <si>
    <t>9600000090</t>
  </si>
  <si>
    <t>riya.yadav90@company.com</t>
  </si>
  <si>
    <t>EMP0091</t>
  </si>
  <si>
    <t>9600000091</t>
  </si>
  <si>
    <t>vivek.more91@company.com</t>
  </si>
  <si>
    <t>EMP0092</t>
  </si>
  <si>
    <t>9600000092</t>
  </si>
  <si>
    <t>aditya.jadhav92@company.com</t>
  </si>
  <si>
    <t>EMP0093</t>
  </si>
  <si>
    <t>9600000093</t>
  </si>
  <si>
    <t>nisha.patil93@company.com</t>
  </si>
  <si>
    <t>EMP0094</t>
  </si>
  <si>
    <t>9600000094</t>
  </si>
  <si>
    <t>deepak.deshmukh94@company.com</t>
  </si>
  <si>
    <t>EMP0095</t>
  </si>
  <si>
    <t>9600000095</t>
  </si>
  <si>
    <t>komal.shinde95@company.com</t>
  </si>
  <si>
    <t>EMP0096</t>
  </si>
  <si>
    <t>9600000096</t>
  </si>
  <si>
    <t>sameer.mane96@company.com</t>
  </si>
  <si>
    <t>EMP0097</t>
  </si>
  <si>
    <t>9600000097</t>
  </si>
  <si>
    <t>farhan.chavan97@company.com</t>
  </si>
  <si>
    <t>EMP0098</t>
  </si>
  <si>
    <t>9600000098</t>
  </si>
  <si>
    <t>isha.ansari98@company.com</t>
  </si>
  <si>
    <t>EMP0099</t>
  </si>
  <si>
    <t>9600000099</t>
  </si>
  <si>
    <t>sonia.rathod99@company.com</t>
  </si>
  <si>
    <t>EMP0100</t>
  </si>
  <si>
    <t>9600000100</t>
  </si>
  <si>
    <t>akash.pawar100@company.com</t>
  </si>
  <si>
    <t>EMP0101</t>
  </si>
  <si>
    <t>9600000101</t>
  </si>
  <si>
    <t>rahul.sharma101@company.com</t>
  </si>
  <si>
    <t>EMP0102</t>
  </si>
  <si>
    <t>9600000102</t>
  </si>
  <si>
    <t>priya.patel102@company.com</t>
  </si>
  <si>
    <t>EMP0103</t>
  </si>
  <si>
    <t>9600000103</t>
  </si>
  <si>
    <t>amit.gupta103@company.com</t>
  </si>
  <si>
    <t>EMP0104</t>
  </si>
  <si>
    <t>9600000104</t>
  </si>
  <si>
    <t>sneha.singh104@company.com</t>
  </si>
  <si>
    <t>EMP0105</t>
  </si>
  <si>
    <t>9600000105</t>
  </si>
  <si>
    <t>rohan.verma105@company.com</t>
  </si>
  <si>
    <t>EMP0106</t>
  </si>
  <si>
    <t>9600000106</t>
  </si>
  <si>
    <t>pooja.joshi106@company.com</t>
  </si>
  <si>
    <t>EMP0107</t>
  </si>
  <si>
    <t>9600000107</t>
  </si>
  <si>
    <t>arjun.kulkarni107@company.com</t>
  </si>
  <si>
    <t>EMP0108</t>
  </si>
  <si>
    <t>9600000108</t>
  </si>
  <si>
    <t>neha.shaikh108@company.com</t>
  </si>
  <si>
    <t>EMP0109</t>
  </si>
  <si>
    <t>9600000109</t>
  </si>
  <si>
    <t>karan.khan109@company.com</t>
  </si>
  <si>
    <t>EMP0110</t>
  </si>
  <si>
    <t>9600000110</t>
  </si>
  <si>
    <t>anjali.yadav110@company.com</t>
  </si>
  <si>
    <t>EMP0111</t>
  </si>
  <si>
    <t>9600000111</t>
  </si>
  <si>
    <t>vikas.more111@company.com</t>
  </si>
  <si>
    <t>EMP0112</t>
  </si>
  <si>
    <t>9600000112</t>
  </si>
  <si>
    <t>meera.jadhav112@company.com</t>
  </si>
  <si>
    <t>EMP0113</t>
  </si>
  <si>
    <t>9600000113</t>
  </si>
  <si>
    <t>sahil.patil113@company.com</t>
  </si>
  <si>
    <t>EMP0114</t>
  </si>
  <si>
    <t>9600000114</t>
  </si>
  <si>
    <t>aisha.deshmukh114@company.com</t>
  </si>
  <si>
    <t>EMP0115</t>
  </si>
  <si>
    <t>9600000115</t>
  </si>
  <si>
    <t>riya.shinde115@company.com</t>
  </si>
  <si>
    <t>EMP0116</t>
  </si>
  <si>
    <t>9600000116</t>
  </si>
  <si>
    <t>vivek.mane116@company.com</t>
  </si>
  <si>
    <t>EMP0117</t>
  </si>
  <si>
    <t>9600000117</t>
  </si>
  <si>
    <t>aditya.chavan117@company.com</t>
  </si>
  <si>
    <t>EMP0118</t>
  </si>
  <si>
    <t>9600000118</t>
  </si>
  <si>
    <t>nisha.ansari118@company.com</t>
  </si>
  <si>
    <t>EMP0119</t>
  </si>
  <si>
    <t>9600000119</t>
  </si>
  <si>
    <t>deepak.rathod119@company.com</t>
  </si>
  <si>
    <t>EMP0120</t>
  </si>
  <si>
    <t>9600000120</t>
  </si>
  <si>
    <t>komal.pawar120@company.com</t>
  </si>
  <si>
    <t>EMP0121</t>
  </si>
  <si>
    <t>9600000121</t>
  </si>
  <si>
    <t>sameer.sharma121@company.com</t>
  </si>
  <si>
    <t>EMP0122</t>
  </si>
  <si>
    <t>9600000122</t>
  </si>
  <si>
    <t>farhan.patel122@company.com</t>
  </si>
  <si>
    <t>EMP0123</t>
  </si>
  <si>
    <t>9600000123</t>
  </si>
  <si>
    <t>isha.gupta123@company.com</t>
  </si>
  <si>
    <t>EMP0124</t>
  </si>
  <si>
    <t>9600000124</t>
  </si>
  <si>
    <t>sonia.singh124@company.com</t>
  </si>
  <si>
    <t>EMP0125</t>
  </si>
  <si>
    <t>9600000125</t>
  </si>
  <si>
    <t>akash.verma125@company.com</t>
  </si>
  <si>
    <t>EMP0126</t>
  </si>
  <si>
    <t>9600000126</t>
  </si>
  <si>
    <t>rahul.joshi126@company.com</t>
  </si>
  <si>
    <t>EMP0127</t>
  </si>
  <si>
    <t>9600000127</t>
  </si>
  <si>
    <t>priya.kulkarni127@company.com</t>
  </si>
  <si>
    <t>EMP0128</t>
  </si>
  <si>
    <t>9600000128</t>
  </si>
  <si>
    <t>amit.shaikh128@company.com</t>
  </si>
  <si>
    <t>EMP0129</t>
  </si>
  <si>
    <t>9600000129</t>
  </si>
  <si>
    <t>sneha.khan129@company.com</t>
  </si>
  <si>
    <t>EMP0130</t>
  </si>
  <si>
    <t>9600000130</t>
  </si>
  <si>
    <t>rohan.yadav130@company.com</t>
  </si>
  <si>
    <t>EMP0131</t>
  </si>
  <si>
    <t>9600000131</t>
  </si>
  <si>
    <t>pooja.more131@company.com</t>
  </si>
  <si>
    <t>EMP0132</t>
  </si>
  <si>
    <t>9600000132</t>
  </si>
  <si>
    <t>arjun.jadhav132@company.com</t>
  </si>
  <si>
    <t>EMP0133</t>
  </si>
  <si>
    <t>9600000133</t>
  </si>
  <si>
    <t>neha.patil133@company.com</t>
  </si>
  <si>
    <t>EMP0134</t>
  </si>
  <si>
    <t>9600000134</t>
  </si>
  <si>
    <t>karan.deshmukh134@company.com</t>
  </si>
  <si>
    <t>EMP0135</t>
  </si>
  <si>
    <t>9600000135</t>
  </si>
  <si>
    <t>anjali.shinde135@company.com</t>
  </si>
  <si>
    <t>EMP0136</t>
  </si>
  <si>
    <t>9600000136</t>
  </si>
  <si>
    <t>vikas.mane136@company.com</t>
  </si>
  <si>
    <t>EMP0137</t>
  </si>
  <si>
    <t>9600000137</t>
  </si>
  <si>
    <t>meera.chavan137@company.com</t>
  </si>
  <si>
    <t>EMP0138</t>
  </si>
  <si>
    <t>9600000138</t>
  </si>
  <si>
    <t>sahil.ansari138@company.com</t>
  </si>
  <si>
    <t>EMP0139</t>
  </si>
  <si>
    <t>9600000139</t>
  </si>
  <si>
    <t>aisha.rathod139@company.com</t>
  </si>
  <si>
    <t>EMP0140</t>
  </si>
  <si>
    <t>9600000140</t>
  </si>
  <si>
    <t>riya.pawar140@company.com</t>
  </si>
  <si>
    <t>EMP0141</t>
  </si>
  <si>
    <t>9600000141</t>
  </si>
  <si>
    <t>vivek.sharma141@company.com</t>
  </si>
  <si>
    <t>EMP0142</t>
  </si>
  <si>
    <t>9600000142</t>
  </si>
  <si>
    <t>aditya.patel142@company.com</t>
  </si>
  <si>
    <t>EMP0143</t>
  </si>
  <si>
    <t>9600000143</t>
  </si>
  <si>
    <t>nisha.gupta143@company.com</t>
  </si>
  <si>
    <t>EMP0144</t>
  </si>
  <si>
    <t>9600000144</t>
  </si>
  <si>
    <t>deepak.singh144@company.com</t>
  </si>
  <si>
    <t>EMP0145</t>
  </si>
  <si>
    <t>9600000145</t>
  </si>
  <si>
    <t>komal.verma145@company.com</t>
  </si>
  <si>
    <t>EMP0146</t>
  </si>
  <si>
    <t>9600000146</t>
  </si>
  <si>
    <t>sameer.joshi146@company.com</t>
  </si>
  <si>
    <t>EMP0147</t>
  </si>
  <si>
    <t>9600000147</t>
  </si>
  <si>
    <t>farhan.kulkarni147@company.com</t>
  </si>
  <si>
    <t>EMP0148</t>
  </si>
  <si>
    <t>9600000148</t>
  </si>
  <si>
    <t>isha.shaikh148@company.com</t>
  </si>
  <si>
    <t>EMP0149</t>
  </si>
  <si>
    <t>9600000149</t>
  </si>
  <si>
    <t>sonia.khan149@company.com</t>
  </si>
  <si>
    <t>EMP0150</t>
  </si>
  <si>
    <t>9600000150</t>
  </si>
  <si>
    <t>akash.yadav150@company.com</t>
  </si>
  <si>
    <t>EMP0151</t>
  </si>
  <si>
    <t>9600000151</t>
  </si>
  <si>
    <t>rahul.more151@company.com</t>
  </si>
  <si>
    <t>EMP0152</t>
  </si>
  <si>
    <t>9600000152</t>
  </si>
  <si>
    <t>priya.jadhav152@company.com</t>
  </si>
  <si>
    <t>EMP0153</t>
  </si>
  <si>
    <t>9600000153</t>
  </si>
  <si>
    <t>amit.patil153@company.com</t>
  </si>
  <si>
    <t>EMP0154</t>
  </si>
  <si>
    <t>9600000154</t>
  </si>
  <si>
    <t>sneha.deshmukh154@company.com</t>
  </si>
  <si>
    <t>EMP0155</t>
  </si>
  <si>
    <t>9600000155</t>
  </si>
  <si>
    <t>rohan.shinde155@company.com</t>
  </si>
  <si>
    <t>EMP0156</t>
  </si>
  <si>
    <t>9600000156</t>
  </si>
  <si>
    <t>pooja.mane156@company.com</t>
  </si>
  <si>
    <t>EMP0157</t>
  </si>
  <si>
    <t>9600000157</t>
  </si>
  <si>
    <t>arjun.chavan157@company.com</t>
  </si>
  <si>
    <t>EMP0158</t>
  </si>
  <si>
    <t>9600000158</t>
  </si>
  <si>
    <t>neha.ansari158@company.com</t>
  </si>
  <si>
    <t>EMP0159</t>
  </si>
  <si>
    <t>9600000159</t>
  </si>
  <si>
    <t>karan.rathod159@company.com</t>
  </si>
  <si>
    <t>EMP0160</t>
  </si>
  <si>
    <t>9600000160</t>
  </si>
  <si>
    <t>anjali.pawar160@company.com</t>
  </si>
  <si>
    <t>EMP0161</t>
  </si>
  <si>
    <t>9600000161</t>
  </si>
  <si>
    <t>vikas.sharma161@company.com</t>
  </si>
  <si>
    <t>EMP0162</t>
  </si>
  <si>
    <t>9600000162</t>
  </si>
  <si>
    <t>meera.patel162@company.com</t>
  </si>
  <si>
    <t>EMP0163</t>
  </si>
  <si>
    <t>9600000163</t>
  </si>
  <si>
    <t>sahil.gupta163@company.com</t>
  </si>
  <si>
    <t>EMP0164</t>
  </si>
  <si>
    <t>9600000164</t>
  </si>
  <si>
    <t>aisha.singh164@company.com</t>
  </si>
  <si>
    <t>EMP0165</t>
  </si>
  <si>
    <t>9600000165</t>
  </si>
  <si>
    <t>riya.verma165@company.com</t>
  </si>
  <si>
    <t>EMP0166</t>
  </si>
  <si>
    <t>9600000166</t>
  </si>
  <si>
    <t>vivek.joshi166@company.com</t>
  </si>
  <si>
    <t>EMP0167</t>
  </si>
  <si>
    <t>9600000167</t>
  </si>
  <si>
    <t>aditya.kulkarni167@company.com</t>
  </si>
  <si>
    <t>EMP0168</t>
  </si>
  <si>
    <t>9600000168</t>
  </si>
  <si>
    <t>nisha.shaikh168@company.com</t>
  </si>
  <si>
    <t>EMP0169</t>
  </si>
  <si>
    <t>9600000169</t>
  </si>
  <si>
    <t>deepak.khan169@company.com</t>
  </si>
  <si>
    <t>EMP0170</t>
  </si>
  <si>
    <t>9600000170</t>
  </si>
  <si>
    <t>komal.yadav170@company.com</t>
  </si>
  <si>
    <t>EMP0171</t>
  </si>
  <si>
    <t>9600000171</t>
  </si>
  <si>
    <t>sameer.more171@company.com</t>
  </si>
  <si>
    <t>EMP0172</t>
  </si>
  <si>
    <t>9600000172</t>
  </si>
  <si>
    <t>farhan.jadhav172@company.com</t>
  </si>
  <si>
    <t>EMP0173</t>
  </si>
  <si>
    <t>9600000173</t>
  </si>
  <si>
    <t>isha.patil173@company.com</t>
  </si>
  <si>
    <t>EMP0174</t>
  </si>
  <si>
    <t>9600000174</t>
  </si>
  <si>
    <t>sonia.deshmukh174@company.com</t>
  </si>
  <si>
    <t>EMP0175</t>
  </si>
  <si>
    <t>9600000175</t>
  </si>
  <si>
    <t>akash.shinde175@company.com</t>
  </si>
  <si>
    <t>EMP0176</t>
  </si>
  <si>
    <t>9600000176</t>
  </si>
  <si>
    <t>rahul.mane176@company.com</t>
  </si>
  <si>
    <t>EMP0177</t>
  </si>
  <si>
    <t>9600000177</t>
  </si>
  <si>
    <t>priya.chavan177@company.com</t>
  </si>
  <si>
    <t>EMP0178</t>
  </si>
  <si>
    <t>9600000178</t>
  </si>
  <si>
    <t>amit.ansari178@company.com</t>
  </si>
  <si>
    <t>EMP0179</t>
  </si>
  <si>
    <t>9600000179</t>
  </si>
  <si>
    <t>sneha.rathod179@company.com</t>
  </si>
  <si>
    <t>EMP0180</t>
  </si>
  <si>
    <t>9600000180</t>
  </si>
  <si>
    <t>rohan.pawar180@company.com</t>
  </si>
  <si>
    <t>EMP0181</t>
  </si>
  <si>
    <t>9600000181</t>
  </si>
  <si>
    <t>pooja.sharma181@company.com</t>
  </si>
  <si>
    <t>EMP0182</t>
  </si>
  <si>
    <t>9600000182</t>
  </si>
  <si>
    <t>arjun.patel182@company.com</t>
  </si>
  <si>
    <t>EMP0183</t>
  </si>
  <si>
    <t>9600000183</t>
  </si>
  <si>
    <t>neha.gupta183@company.com</t>
  </si>
  <si>
    <t>EMP0184</t>
  </si>
  <si>
    <t>9600000184</t>
  </si>
  <si>
    <t>karan.singh184@company.com</t>
  </si>
  <si>
    <t>EMP0185</t>
  </si>
  <si>
    <t>9600000185</t>
  </si>
  <si>
    <t>anjali.verma185@company.com</t>
  </si>
  <si>
    <t>EMP0186</t>
  </si>
  <si>
    <t>9600000186</t>
  </si>
  <si>
    <t>vikas.joshi186@company.com</t>
  </si>
  <si>
    <t>EMP0187</t>
  </si>
  <si>
    <t>9600000187</t>
  </si>
  <si>
    <t>meera.kulkarni187@company.com</t>
  </si>
  <si>
    <t>EMP0188</t>
  </si>
  <si>
    <t>9600000188</t>
  </si>
  <si>
    <t>sahil.shaikh188@company.com</t>
  </si>
  <si>
    <t>EMP0189</t>
  </si>
  <si>
    <t>9600000189</t>
  </si>
  <si>
    <t>aisha.khan189@company.com</t>
  </si>
  <si>
    <t>EMP0190</t>
  </si>
  <si>
    <t>9600000190</t>
  </si>
  <si>
    <t>riya.yadav190@company.com</t>
  </si>
  <si>
    <t>EMP0191</t>
  </si>
  <si>
    <t>9600000191</t>
  </si>
  <si>
    <t>vivek.more191@company.com</t>
  </si>
  <si>
    <t>EMP0192</t>
  </si>
  <si>
    <t>9600000192</t>
  </si>
  <si>
    <t>aditya.jadhav192@company.com</t>
  </si>
  <si>
    <t>EMP0193</t>
  </si>
  <si>
    <t>9600000193</t>
  </si>
  <si>
    <t>nisha.patil193@company.com</t>
  </si>
  <si>
    <t>EMP0194</t>
  </si>
  <si>
    <t>9600000194</t>
  </si>
  <si>
    <t>deepak.deshmukh194@company.com</t>
  </si>
  <si>
    <t>EMP0195</t>
  </si>
  <si>
    <t>9600000195</t>
  </si>
  <si>
    <t>komal.shinde195@company.com</t>
  </si>
  <si>
    <t>EMP0196</t>
  </si>
  <si>
    <t>9600000196</t>
  </si>
  <si>
    <t>sameer.mane196@company.com</t>
  </si>
  <si>
    <t>EMP0197</t>
  </si>
  <si>
    <t>9600000197</t>
  </si>
  <si>
    <t>farhan.chavan197@company.com</t>
  </si>
  <si>
    <t>EMP0198</t>
  </si>
  <si>
    <t>9600000198</t>
  </si>
  <si>
    <t>isha.ansari198@company.com</t>
  </si>
  <si>
    <t>EMP0199</t>
  </si>
  <si>
    <t>9600000199</t>
  </si>
  <si>
    <t>sonia.rathod199@company.com</t>
  </si>
  <si>
    <t>EMP0200</t>
  </si>
  <si>
    <t>9600000200</t>
  </si>
  <si>
    <t>akash.pawar200@company.com</t>
  </si>
  <si>
    <t>EMP0201</t>
  </si>
  <si>
    <t>9600000201</t>
  </si>
  <si>
    <t>rahul.sharma201@company.com</t>
  </si>
  <si>
    <t>EMP0202</t>
  </si>
  <si>
    <t>9600000202</t>
  </si>
  <si>
    <t>priya.patel202@company.com</t>
  </si>
  <si>
    <t>EMP0203</t>
  </si>
  <si>
    <t>9600000203</t>
  </si>
  <si>
    <t>amit.gupta203@company.com</t>
  </si>
  <si>
    <t>EMP0204</t>
  </si>
  <si>
    <t>9600000204</t>
  </si>
  <si>
    <t>sneha.singh204@company.com</t>
  </si>
  <si>
    <t>EMP0205</t>
  </si>
  <si>
    <t>9600000205</t>
  </si>
  <si>
    <t>rohan.verma205@company.com</t>
  </si>
  <si>
    <t>EMP0206</t>
  </si>
  <si>
    <t>9600000206</t>
  </si>
  <si>
    <t>pooja.joshi206@company.com</t>
  </si>
  <si>
    <t>EMP0207</t>
  </si>
  <si>
    <t>9600000207</t>
  </si>
  <si>
    <t>arjun.kulkarni207@company.com</t>
  </si>
  <si>
    <t>EMP0208</t>
  </si>
  <si>
    <t>9600000208</t>
  </si>
  <si>
    <t>neha.shaikh208@company.com</t>
  </si>
  <si>
    <t>EMP0209</t>
  </si>
  <si>
    <t>9600000209</t>
  </si>
  <si>
    <t>karan.khan209@company.com</t>
  </si>
  <si>
    <t>EMP0210</t>
  </si>
  <si>
    <t>9600000210</t>
  </si>
  <si>
    <t>anjali.yadav210@company.com</t>
  </si>
  <si>
    <t>EMP0211</t>
  </si>
  <si>
    <t>9600000211</t>
  </si>
  <si>
    <t>vikas.more211@company.com</t>
  </si>
  <si>
    <t>EMP0212</t>
  </si>
  <si>
    <t>9600000212</t>
  </si>
  <si>
    <t>meera.jadhav212@company.com</t>
  </si>
  <si>
    <t>EMP0213</t>
  </si>
  <si>
    <t>9600000213</t>
  </si>
  <si>
    <t>sahil.patil213@company.com</t>
  </si>
  <si>
    <t>EMP0214</t>
  </si>
  <si>
    <t>9600000214</t>
  </si>
  <si>
    <t>aisha.deshmukh214@company.com</t>
  </si>
  <si>
    <t>EMP0215</t>
  </si>
  <si>
    <t>9600000215</t>
  </si>
  <si>
    <t>riya.shinde215@company.com</t>
  </si>
  <si>
    <t>EMP0216</t>
  </si>
  <si>
    <t>9600000216</t>
  </si>
  <si>
    <t>vivek.mane216@company.com</t>
  </si>
  <si>
    <t>EMP0217</t>
  </si>
  <si>
    <t>9600000217</t>
  </si>
  <si>
    <t>aditya.chavan217@company.com</t>
  </si>
  <si>
    <t>EMP0218</t>
  </si>
  <si>
    <t>9600000218</t>
  </si>
  <si>
    <t>nisha.ansari218@company.com</t>
  </si>
  <si>
    <t>EMP0219</t>
  </si>
  <si>
    <t>9600000219</t>
  </si>
  <si>
    <t>deepak.rathod219@company.com</t>
  </si>
  <si>
    <t>EMP0220</t>
  </si>
  <si>
    <t>9600000220</t>
  </si>
  <si>
    <t>komal.pawar220@company.com</t>
  </si>
  <si>
    <t>EMP0221</t>
  </si>
  <si>
    <t>9600000221</t>
  </si>
  <si>
    <t>sameer.sharma221@company.com</t>
  </si>
  <si>
    <t>EMP0222</t>
  </si>
  <si>
    <t>9600000222</t>
  </si>
  <si>
    <t>farhan.patel222@company.com</t>
  </si>
  <si>
    <t>EMP0223</t>
  </si>
  <si>
    <t>9600000223</t>
  </si>
  <si>
    <t>isha.gupta223@company.com</t>
  </si>
  <si>
    <t>EMP0224</t>
  </si>
  <si>
    <t>9600000224</t>
  </si>
  <si>
    <t>sonia.singh224@company.com</t>
  </si>
  <si>
    <t>EMP0225</t>
  </si>
  <si>
    <t>9600000225</t>
  </si>
  <si>
    <t>akash.verma225@company.com</t>
  </si>
  <si>
    <t>EMP0226</t>
  </si>
  <si>
    <t>9600000226</t>
  </si>
  <si>
    <t>rahul.joshi226@company.com</t>
  </si>
  <si>
    <t>EMP0227</t>
  </si>
  <si>
    <t>9600000227</t>
  </si>
  <si>
    <t>priya.kulkarni227@company.com</t>
  </si>
  <si>
    <t>EMP0228</t>
  </si>
  <si>
    <t>9600000228</t>
  </si>
  <si>
    <t>amit.shaikh228@company.com</t>
  </si>
  <si>
    <t>EMP0229</t>
  </si>
  <si>
    <t>9600000229</t>
  </si>
  <si>
    <t>sneha.khan229@company.com</t>
  </si>
  <si>
    <t>EMP0230</t>
  </si>
  <si>
    <t>9600000230</t>
  </si>
  <si>
    <t>rohan.yadav230@company.com</t>
  </si>
  <si>
    <t>EMP0231</t>
  </si>
  <si>
    <t>9600000231</t>
  </si>
  <si>
    <t>pooja.more231@company.com</t>
  </si>
  <si>
    <t>EMP0232</t>
  </si>
  <si>
    <t>9600000232</t>
  </si>
  <si>
    <t>arjun.jadhav232@company.com</t>
  </si>
  <si>
    <t>EMP0233</t>
  </si>
  <si>
    <t>9600000233</t>
  </si>
  <si>
    <t>neha.patil233@company.com</t>
  </si>
  <si>
    <t>EMP0234</t>
  </si>
  <si>
    <t>9600000234</t>
  </si>
  <si>
    <t>karan.deshmukh234@company.com</t>
  </si>
  <si>
    <t>EMP0235</t>
  </si>
  <si>
    <t>9600000235</t>
  </si>
  <si>
    <t>anjali.shinde235@company.com</t>
  </si>
  <si>
    <t>EMP0236</t>
  </si>
  <si>
    <t>9600000236</t>
  </si>
  <si>
    <t>vikas.mane236@company.com</t>
  </si>
  <si>
    <t>EMP0237</t>
  </si>
  <si>
    <t>9600000237</t>
  </si>
  <si>
    <t>meera.chavan237@company.com</t>
  </si>
  <si>
    <t>EMP0238</t>
  </si>
  <si>
    <t>9600000238</t>
  </si>
  <si>
    <t>sahil.ansari238@company.com</t>
  </si>
  <si>
    <t>EMP0239</t>
  </si>
  <si>
    <t>9600000239</t>
  </si>
  <si>
    <t>aisha.rathod239@company.com</t>
  </si>
  <si>
    <t>EMP0240</t>
  </si>
  <si>
    <t>9600000240</t>
  </si>
  <si>
    <t>riya.pawar240@company.com</t>
  </si>
  <si>
    <t>EMP0241</t>
  </si>
  <si>
    <t>9600000241</t>
  </si>
  <si>
    <t>vivek.sharma241@company.com</t>
  </si>
  <si>
    <t>EMP0242</t>
  </si>
  <si>
    <t>9600000242</t>
  </si>
  <si>
    <t>aditya.patel242@company.com</t>
  </si>
  <si>
    <t>EMP0243</t>
  </si>
  <si>
    <t>9600000243</t>
  </si>
  <si>
    <t>nisha.gupta243@company.com</t>
  </si>
  <si>
    <t>EMP0244</t>
  </si>
  <si>
    <t>9600000244</t>
  </si>
  <si>
    <t>deepak.singh244@company.com</t>
  </si>
  <si>
    <t>EMP0245</t>
  </si>
  <si>
    <t>9600000245</t>
  </si>
  <si>
    <t>komal.verma245@company.com</t>
  </si>
  <si>
    <t>EMP0246</t>
  </si>
  <si>
    <t>9600000246</t>
  </si>
  <si>
    <t>sameer.joshi246@company.com</t>
  </si>
  <si>
    <t>EMP0247</t>
  </si>
  <si>
    <t>9600000247</t>
  </si>
  <si>
    <t>farhan.kulkarni247@company.com</t>
  </si>
  <si>
    <t>EMP0248</t>
  </si>
  <si>
    <t>9600000248</t>
  </si>
  <si>
    <t>isha.shaikh248@company.com</t>
  </si>
  <si>
    <t>EMP0249</t>
  </si>
  <si>
    <t>9600000249</t>
  </si>
  <si>
    <t>sonia.khan249@company.com</t>
  </si>
  <si>
    <t>EMP0250</t>
  </si>
  <si>
    <t>9600000250</t>
  </si>
  <si>
    <t>akash.yadav250@company.com</t>
  </si>
  <si>
    <t>EMP0251</t>
  </si>
  <si>
    <t>9600000251</t>
  </si>
  <si>
    <t>rahul.more251@company.com</t>
  </si>
  <si>
    <t>EMP0252</t>
  </si>
  <si>
    <t>9600000252</t>
  </si>
  <si>
    <t>priya.jadhav252@company.com</t>
  </si>
  <si>
    <t>EMP0253</t>
  </si>
  <si>
    <t>9600000253</t>
  </si>
  <si>
    <t>amit.patil253@company.com</t>
  </si>
  <si>
    <t>EMP0254</t>
  </si>
  <si>
    <t>9600000254</t>
  </si>
  <si>
    <t>sneha.deshmukh254@company.com</t>
  </si>
  <si>
    <t>EMP0255</t>
  </si>
  <si>
    <t>9600000255</t>
  </si>
  <si>
    <t>rohan.shinde255@company.com</t>
  </si>
  <si>
    <t>EMP0256</t>
  </si>
  <si>
    <t>9600000256</t>
  </si>
  <si>
    <t>pooja.mane256@company.com</t>
  </si>
  <si>
    <t>EMP0257</t>
  </si>
  <si>
    <t>9600000257</t>
  </si>
  <si>
    <t>arjun.chavan257@company.com</t>
  </si>
  <si>
    <t>EMP0258</t>
  </si>
  <si>
    <t>9600000258</t>
  </si>
  <si>
    <t>neha.ansari258@company.com</t>
  </si>
  <si>
    <t>EMP0259</t>
  </si>
  <si>
    <t>9600000259</t>
  </si>
  <si>
    <t>karan.rathod259@company.com</t>
  </si>
  <si>
    <t>EMP0260</t>
  </si>
  <si>
    <t>9600000260</t>
  </si>
  <si>
    <t>anjali.pawar260@company.com</t>
  </si>
  <si>
    <t>EMP0261</t>
  </si>
  <si>
    <t>9600000261</t>
  </si>
  <si>
    <t>vikas.sharma261@company.com</t>
  </si>
  <si>
    <t>EMP0262</t>
  </si>
  <si>
    <t>9600000262</t>
  </si>
  <si>
    <t>meera.patel262@company.com</t>
  </si>
  <si>
    <t>EMP0263</t>
  </si>
  <si>
    <t>9600000263</t>
  </si>
  <si>
    <t>sahil.gupta263@company.com</t>
  </si>
  <si>
    <t>EMP0264</t>
  </si>
  <si>
    <t>9600000264</t>
  </si>
  <si>
    <t>aisha.singh264@company.com</t>
  </si>
  <si>
    <t>EMP0265</t>
  </si>
  <si>
    <t>9600000265</t>
  </si>
  <si>
    <t>riya.verma265@company.com</t>
  </si>
  <si>
    <t>EMP0266</t>
  </si>
  <si>
    <t>9600000266</t>
  </si>
  <si>
    <t>vivek.joshi266@company.com</t>
  </si>
  <si>
    <t>EMP0267</t>
  </si>
  <si>
    <t>9600000267</t>
  </si>
  <si>
    <t>aditya.kulkarni267@company.com</t>
  </si>
  <si>
    <t>EMP0268</t>
  </si>
  <si>
    <t>9600000268</t>
  </si>
  <si>
    <t>nisha.shaikh268@company.com</t>
  </si>
  <si>
    <t>EMP0269</t>
  </si>
  <si>
    <t>9600000269</t>
  </si>
  <si>
    <t>deepak.khan269@company.com</t>
  </si>
  <si>
    <t>EMP0270</t>
  </si>
  <si>
    <t>9600000270</t>
  </si>
  <si>
    <t>komal.yadav270@company.com</t>
  </si>
  <si>
    <t>EMP0271</t>
  </si>
  <si>
    <t>9600000271</t>
  </si>
  <si>
    <t>sameer.more271@company.com</t>
  </si>
  <si>
    <t>EMP0272</t>
  </si>
  <si>
    <t>9600000272</t>
  </si>
  <si>
    <t>farhan.jadhav272@company.com</t>
  </si>
  <si>
    <t>EMP0273</t>
  </si>
  <si>
    <t>9600000273</t>
  </si>
  <si>
    <t>isha.patil273@company.com</t>
  </si>
  <si>
    <t>EMP0274</t>
  </si>
  <si>
    <t>9600000274</t>
  </si>
  <si>
    <t>sonia.deshmukh274@company.com</t>
  </si>
  <si>
    <t>EMP0275</t>
  </si>
  <si>
    <t>9600000275</t>
  </si>
  <si>
    <t>akash.shinde275@company.com</t>
  </si>
  <si>
    <t>EMP0276</t>
  </si>
  <si>
    <t>9600000276</t>
  </si>
  <si>
    <t>rahul.mane276@company.com</t>
  </si>
  <si>
    <t>EMP0277</t>
  </si>
  <si>
    <t>9600000277</t>
  </si>
  <si>
    <t>priya.chavan277@company.com</t>
  </si>
  <si>
    <t>EMP0278</t>
  </si>
  <si>
    <t>9600000278</t>
  </si>
  <si>
    <t>amit.ansari278@company.com</t>
  </si>
  <si>
    <t>EMP0279</t>
  </si>
  <si>
    <t>9600000279</t>
  </si>
  <si>
    <t>sneha.rathod279@company.com</t>
  </si>
  <si>
    <t>EMP0280</t>
  </si>
  <si>
    <t>9600000280</t>
  </si>
  <si>
    <t>rohan.pawar280@company.com</t>
  </si>
  <si>
    <t>EMP0281</t>
  </si>
  <si>
    <t>9600000281</t>
  </si>
  <si>
    <t>pooja.sharma281@company.com</t>
  </si>
  <si>
    <t>EMP0282</t>
  </si>
  <si>
    <t>9600000282</t>
  </si>
  <si>
    <t>arjun.patel282@company.com</t>
  </si>
  <si>
    <t>EMP0283</t>
  </si>
  <si>
    <t>9600000283</t>
  </si>
  <si>
    <t>neha.gupta283@company.com</t>
  </si>
  <si>
    <t>EMP0284</t>
  </si>
  <si>
    <t>9600000284</t>
  </si>
  <si>
    <t>karan.singh284@company.com</t>
  </si>
  <si>
    <t>EMP0285</t>
  </si>
  <si>
    <t>9600000285</t>
  </si>
  <si>
    <t>anjali.verma285@company.com</t>
  </si>
  <si>
    <t>EMP0286</t>
  </si>
  <si>
    <t>9600000286</t>
  </si>
  <si>
    <t>vikas.joshi286@company.com</t>
  </si>
  <si>
    <t>EMP0287</t>
  </si>
  <si>
    <t>9600000287</t>
  </si>
  <si>
    <t>meera.kulkarni287@company.com</t>
  </si>
  <si>
    <t>EMP0288</t>
  </si>
  <si>
    <t>9600000288</t>
  </si>
  <si>
    <t>sahil.shaikh288@company.com</t>
  </si>
  <si>
    <t>EMP0289</t>
  </si>
  <si>
    <t>9600000289</t>
  </si>
  <si>
    <t>aisha.khan289@company.com</t>
  </si>
  <si>
    <t>EMP0290</t>
  </si>
  <si>
    <t>9600000290</t>
  </si>
  <si>
    <t>riya.yadav290@company.com</t>
  </si>
  <si>
    <t>EMP0291</t>
  </si>
  <si>
    <t>9600000291</t>
  </si>
  <si>
    <t>vivek.more291@company.com</t>
  </si>
  <si>
    <t>EMP0292</t>
  </si>
  <si>
    <t>9600000292</t>
  </si>
  <si>
    <t>aditya.jadhav292@company.com</t>
  </si>
  <si>
    <t>EMP0293</t>
  </si>
  <si>
    <t>9600000293</t>
  </si>
  <si>
    <t>nisha.patil293@company.com</t>
  </si>
  <si>
    <t>EMP0294</t>
  </si>
  <si>
    <t>9600000294</t>
  </si>
  <si>
    <t>deepak.deshmukh294@company.com</t>
  </si>
  <si>
    <t>EMP0295</t>
  </si>
  <si>
    <t>9600000295</t>
  </si>
  <si>
    <t>komal.shinde295@company.com</t>
  </si>
  <si>
    <t>EMP0296</t>
  </si>
  <si>
    <t>9600000296</t>
  </si>
  <si>
    <t>sameer.mane296@company.com</t>
  </si>
  <si>
    <t>EMP0297</t>
  </si>
  <si>
    <t>9600000297</t>
  </si>
  <si>
    <t>farhan.chavan297@company.com</t>
  </si>
  <si>
    <t>EMP0298</t>
  </si>
  <si>
    <t>9600000298</t>
  </si>
  <si>
    <t>isha.ansari298@company.com</t>
  </si>
  <si>
    <t>EMP0299</t>
  </si>
  <si>
    <t>9600000299</t>
  </si>
  <si>
    <t>sonia.rathod299@company.com</t>
  </si>
  <si>
    <t>EMP0300</t>
  </si>
  <si>
    <t>9600000300</t>
  </si>
  <si>
    <t>akash.pawar300@company.com</t>
  </si>
  <si>
    <t>EMP0301</t>
  </si>
  <si>
    <t>9600000301</t>
  </si>
  <si>
    <t>rahul.sharma301@company.com</t>
  </si>
  <si>
    <t>EMP0302</t>
  </si>
  <si>
    <t>9600000302</t>
  </si>
  <si>
    <t>priya.patel302@company.com</t>
  </si>
  <si>
    <t>EMP0303</t>
  </si>
  <si>
    <t>9600000303</t>
  </si>
  <si>
    <t>amit.gupta303@company.com</t>
  </si>
  <si>
    <t>EMP0304</t>
  </si>
  <si>
    <t>9600000304</t>
  </si>
  <si>
    <t>sneha.singh304@company.com</t>
  </si>
  <si>
    <t>EMP0305</t>
  </si>
  <si>
    <t>9600000305</t>
  </si>
  <si>
    <t>rohan.verma305@company.com</t>
  </si>
  <si>
    <t>EMP0306</t>
  </si>
  <si>
    <t>9600000306</t>
  </si>
  <si>
    <t>pooja.joshi306@company.com</t>
  </si>
  <si>
    <t>EMP0307</t>
  </si>
  <si>
    <t>9600000307</t>
  </si>
  <si>
    <t>arjun.kulkarni307@company.com</t>
  </si>
  <si>
    <t>EMP0308</t>
  </si>
  <si>
    <t>9600000308</t>
  </si>
  <si>
    <t>neha.shaikh308@company.com</t>
  </si>
  <si>
    <t>EMP0309</t>
  </si>
  <si>
    <t>9600000309</t>
  </si>
  <si>
    <t>karan.khan309@company.com</t>
  </si>
  <si>
    <t>EMP0310</t>
  </si>
  <si>
    <t>9600000310</t>
  </si>
  <si>
    <t>anjali.yadav310@company.com</t>
  </si>
  <si>
    <t>EMP0311</t>
  </si>
  <si>
    <t>9600000311</t>
  </si>
  <si>
    <t>vikas.more311@company.com</t>
  </si>
  <si>
    <t>EMP0312</t>
  </si>
  <si>
    <t>9600000312</t>
  </si>
  <si>
    <t>meera.jadhav312@company.com</t>
  </si>
  <si>
    <t>EMP0313</t>
  </si>
  <si>
    <t>9600000313</t>
  </si>
  <si>
    <t>sahil.patil313@company.com</t>
  </si>
  <si>
    <t>EMP0314</t>
  </si>
  <si>
    <t>9600000314</t>
  </si>
  <si>
    <t>aisha.deshmukh314@company.com</t>
  </si>
  <si>
    <t>EMP0315</t>
  </si>
  <si>
    <t>9600000315</t>
  </si>
  <si>
    <t>riya.shinde315@company.com</t>
  </si>
  <si>
    <t>EMP0316</t>
  </si>
  <si>
    <t>9600000316</t>
  </si>
  <si>
    <t>vivek.mane316@company.com</t>
  </si>
  <si>
    <t>EMP0317</t>
  </si>
  <si>
    <t>9600000317</t>
  </si>
  <si>
    <t>aditya.chavan317@company.com</t>
  </si>
  <si>
    <t>EMP0318</t>
  </si>
  <si>
    <t>9600000318</t>
  </si>
  <si>
    <t>nisha.ansari318@company.com</t>
  </si>
  <si>
    <t>EMP0319</t>
  </si>
  <si>
    <t>9600000319</t>
  </si>
  <si>
    <t>deepak.rathod319@company.com</t>
  </si>
  <si>
    <t>EMP0320</t>
  </si>
  <si>
    <t>9600000320</t>
  </si>
  <si>
    <t>komal.pawar320@company.com</t>
  </si>
  <si>
    <t>EMP0321</t>
  </si>
  <si>
    <t>9600000321</t>
  </si>
  <si>
    <t>sameer.sharma321@company.com</t>
  </si>
  <si>
    <t>EMP0322</t>
  </si>
  <si>
    <t>9600000322</t>
  </si>
  <si>
    <t>farhan.patel322@company.com</t>
  </si>
  <si>
    <t>EMP0323</t>
  </si>
  <si>
    <t>9600000323</t>
  </si>
  <si>
    <t>isha.gupta323@company.com</t>
  </si>
  <si>
    <t>EMP0324</t>
  </si>
  <si>
    <t>9600000324</t>
  </si>
  <si>
    <t>sonia.singh324@company.com</t>
  </si>
  <si>
    <t>EMP0325</t>
  </si>
  <si>
    <t>9600000325</t>
  </si>
  <si>
    <t>akash.verma325@company.com</t>
  </si>
  <si>
    <t>EMP0326</t>
  </si>
  <si>
    <t>9600000326</t>
  </si>
  <si>
    <t>rahul.joshi326@company.com</t>
  </si>
  <si>
    <t>EMP0327</t>
  </si>
  <si>
    <t>9600000327</t>
  </si>
  <si>
    <t>priya.kulkarni327@company.com</t>
  </si>
  <si>
    <t>EMP0328</t>
  </si>
  <si>
    <t>9600000328</t>
  </si>
  <si>
    <t>amit.shaikh328@company.com</t>
  </si>
  <si>
    <t>EMP0329</t>
  </si>
  <si>
    <t>9600000329</t>
  </si>
  <si>
    <t>sneha.khan329@company.com</t>
  </si>
  <si>
    <t>EMP0330</t>
  </si>
  <si>
    <t>9600000330</t>
  </si>
  <si>
    <t>rohan.yadav330@company.com</t>
  </si>
  <si>
    <t>EMP0331</t>
  </si>
  <si>
    <t>9600000331</t>
  </si>
  <si>
    <t>pooja.more331@company.com</t>
  </si>
  <si>
    <t>EMP0332</t>
  </si>
  <si>
    <t>9600000332</t>
  </si>
  <si>
    <t>arjun.jadhav332@company.com</t>
  </si>
  <si>
    <t>EMP0333</t>
  </si>
  <si>
    <t>9600000333</t>
  </si>
  <si>
    <t>neha.patil333@company.com</t>
  </si>
  <si>
    <t>EMP0334</t>
  </si>
  <si>
    <t>9600000334</t>
  </si>
  <si>
    <t>karan.deshmukh334@company.com</t>
  </si>
  <si>
    <t>EMP0335</t>
  </si>
  <si>
    <t>9600000335</t>
  </si>
  <si>
    <t>anjali.shinde335@company.com</t>
  </si>
  <si>
    <t>EMP0336</t>
  </si>
  <si>
    <t>9600000336</t>
  </si>
  <si>
    <t>vikas.mane336@company.com</t>
  </si>
  <si>
    <t>EMP0337</t>
  </si>
  <si>
    <t>9600000337</t>
  </si>
  <si>
    <t>meera.chavan337@company.com</t>
  </si>
  <si>
    <t>EMP0338</t>
  </si>
  <si>
    <t>9600000338</t>
  </si>
  <si>
    <t>sahil.ansari338@company.com</t>
  </si>
  <si>
    <t>EMP0339</t>
  </si>
  <si>
    <t>9600000339</t>
  </si>
  <si>
    <t>aisha.rathod339@company.com</t>
  </si>
  <si>
    <t>EMP0340</t>
  </si>
  <si>
    <t>9600000340</t>
  </si>
  <si>
    <t>riya.pawar340@company.com</t>
  </si>
  <si>
    <t>EMP0341</t>
  </si>
  <si>
    <t>9600000341</t>
  </si>
  <si>
    <t>vivek.sharma341@company.com</t>
  </si>
  <si>
    <t>EMP0342</t>
  </si>
  <si>
    <t>9600000342</t>
  </si>
  <si>
    <t>aditya.patel342@company.com</t>
  </si>
  <si>
    <t>EMP0343</t>
  </si>
  <si>
    <t>9600000343</t>
  </si>
  <si>
    <t>nisha.gupta343@company.com</t>
  </si>
  <si>
    <t>EMP0344</t>
  </si>
  <si>
    <t>9600000344</t>
  </si>
  <si>
    <t>deepak.singh344@company.com</t>
  </si>
  <si>
    <t>EMP0345</t>
  </si>
  <si>
    <t>9600000345</t>
  </si>
  <si>
    <t>komal.verma345@company.com</t>
  </si>
  <si>
    <t>EMP0346</t>
  </si>
  <si>
    <t>9600000346</t>
  </si>
  <si>
    <t>sameer.joshi346@company.com</t>
  </si>
  <si>
    <t>EMP0347</t>
  </si>
  <si>
    <t>9600000347</t>
  </si>
  <si>
    <t>farhan.kulkarni347@company.com</t>
  </si>
  <si>
    <t>EMP0348</t>
  </si>
  <si>
    <t>9600000348</t>
  </si>
  <si>
    <t>isha.shaikh348@company.com</t>
  </si>
  <si>
    <t>EMP0349</t>
  </si>
  <si>
    <t>9600000349</t>
  </si>
  <si>
    <t>sonia.khan349@company.com</t>
  </si>
  <si>
    <t>EMP0350</t>
  </si>
  <si>
    <t>9600000350</t>
  </si>
  <si>
    <t>akash.yadav350@company.com</t>
  </si>
  <si>
    <t>EMP0351</t>
  </si>
  <si>
    <t>9600000351</t>
  </si>
  <si>
    <t>rahul.more351@company.com</t>
  </si>
  <si>
    <t>EMP0352</t>
  </si>
  <si>
    <t>9600000352</t>
  </si>
  <si>
    <t>priya.jadhav352@company.com</t>
  </si>
  <si>
    <t>EMP0353</t>
  </si>
  <si>
    <t>9600000353</t>
  </si>
  <si>
    <t>amit.patil353@company.com</t>
  </si>
  <si>
    <t>EMP0354</t>
  </si>
  <si>
    <t>9600000354</t>
  </si>
  <si>
    <t>sneha.deshmukh354@company.com</t>
  </si>
  <si>
    <t>EMP0355</t>
  </si>
  <si>
    <t>9600000355</t>
  </si>
  <si>
    <t>rohan.shinde355@company.com</t>
  </si>
  <si>
    <t>EMP0356</t>
  </si>
  <si>
    <t>9600000356</t>
  </si>
  <si>
    <t>pooja.mane356@company.com</t>
  </si>
  <si>
    <t>EMP0357</t>
  </si>
  <si>
    <t>9600000357</t>
  </si>
  <si>
    <t>arjun.chavan357@company.com</t>
  </si>
  <si>
    <t>EMP0358</t>
  </si>
  <si>
    <t>9600000358</t>
  </si>
  <si>
    <t>neha.ansari358@company.com</t>
  </si>
  <si>
    <t>EMP0359</t>
  </si>
  <si>
    <t>9600000359</t>
  </si>
  <si>
    <t>karan.rathod359@company.com</t>
  </si>
  <si>
    <t>EMP0360</t>
  </si>
  <si>
    <t>9600000360</t>
  </si>
  <si>
    <t>anjali.pawar360@company.com</t>
  </si>
  <si>
    <t>EMP0361</t>
  </si>
  <si>
    <t>9600000361</t>
  </si>
  <si>
    <t>vikas.sharma361@company.com</t>
  </si>
  <si>
    <t>EMP0362</t>
  </si>
  <si>
    <t>9600000362</t>
  </si>
  <si>
    <t>meera.patel362@company.com</t>
  </si>
  <si>
    <t>EMP0363</t>
  </si>
  <si>
    <t>9600000363</t>
  </si>
  <si>
    <t>sahil.gupta363@company.com</t>
  </si>
  <si>
    <t>EMP0364</t>
  </si>
  <si>
    <t>9600000364</t>
  </si>
  <si>
    <t>aisha.singh364@company.com</t>
  </si>
  <si>
    <t>EMP0365</t>
  </si>
  <si>
    <t>9600000365</t>
  </si>
  <si>
    <t>riya.verma365@company.com</t>
  </si>
  <si>
    <t>EMP0366</t>
  </si>
  <si>
    <t>9600000366</t>
  </si>
  <si>
    <t>vivek.joshi366@company.com</t>
  </si>
  <si>
    <t>EMP0367</t>
  </si>
  <si>
    <t>9600000367</t>
  </si>
  <si>
    <t>aditya.kulkarni367@company.com</t>
  </si>
  <si>
    <t>EMP0368</t>
  </si>
  <si>
    <t>9600000368</t>
  </si>
  <si>
    <t>nisha.shaikh368@company.com</t>
  </si>
  <si>
    <t>EMP0369</t>
  </si>
  <si>
    <t>9600000369</t>
  </si>
  <si>
    <t>deepak.khan369@company.com</t>
  </si>
  <si>
    <t>EMP0370</t>
  </si>
  <si>
    <t>9600000370</t>
  </si>
  <si>
    <t>komal.yadav370@company.com</t>
  </si>
  <si>
    <t>EMP0371</t>
  </si>
  <si>
    <t>9600000371</t>
  </si>
  <si>
    <t>sameer.more371@company.com</t>
  </si>
  <si>
    <t>EMP0372</t>
  </si>
  <si>
    <t>9600000372</t>
  </si>
  <si>
    <t>farhan.jadhav372@company.com</t>
  </si>
  <si>
    <t>EMP0373</t>
  </si>
  <si>
    <t>9600000373</t>
  </si>
  <si>
    <t>isha.patil373@company.com</t>
  </si>
  <si>
    <t>EMP0374</t>
  </si>
  <si>
    <t>9600000374</t>
  </si>
  <si>
    <t>sonia.deshmukh374@company.com</t>
  </si>
  <si>
    <t>EMP0375</t>
  </si>
  <si>
    <t>9600000375</t>
  </si>
  <si>
    <t>akash.shinde375@company.com</t>
  </si>
  <si>
    <t>EMP0376</t>
  </si>
  <si>
    <t>9600000376</t>
  </si>
  <si>
    <t>rahul.mane376@company.com</t>
  </si>
  <si>
    <t>EMP0377</t>
  </si>
  <si>
    <t>9600000377</t>
  </si>
  <si>
    <t>priya.chavan377@company.com</t>
  </si>
  <si>
    <t>EMP0378</t>
  </si>
  <si>
    <t>9600000378</t>
  </si>
  <si>
    <t>amit.ansari378@company.com</t>
  </si>
  <si>
    <t>EMP0379</t>
  </si>
  <si>
    <t>9600000379</t>
  </si>
  <si>
    <t>sneha.rathod379@company.com</t>
  </si>
  <si>
    <t>EMP0380</t>
  </si>
  <si>
    <t>9600000380</t>
  </si>
  <si>
    <t>rohan.pawar380@company.com</t>
  </si>
  <si>
    <t>EMP0381</t>
  </si>
  <si>
    <t>9600000381</t>
  </si>
  <si>
    <t>pooja.sharma381@company.com</t>
  </si>
  <si>
    <t>EMP0382</t>
  </si>
  <si>
    <t>9600000382</t>
  </si>
  <si>
    <t>arjun.patel382@company.com</t>
  </si>
  <si>
    <t>EMP0383</t>
  </si>
  <si>
    <t>9600000383</t>
  </si>
  <si>
    <t>neha.gupta383@company.com</t>
  </si>
  <si>
    <t>EMP0384</t>
  </si>
  <si>
    <t>9600000384</t>
  </si>
  <si>
    <t>karan.singh384@company.com</t>
  </si>
  <si>
    <t>EMP0385</t>
  </si>
  <si>
    <t>9600000385</t>
  </si>
  <si>
    <t>anjali.verma385@company.com</t>
  </si>
  <si>
    <t>EMP0386</t>
  </si>
  <si>
    <t>9600000386</t>
  </si>
  <si>
    <t>vikas.joshi386@company.com</t>
  </si>
  <si>
    <t>EMP0387</t>
  </si>
  <si>
    <t>9600000387</t>
  </si>
  <si>
    <t>meera.kulkarni387@company.com</t>
  </si>
  <si>
    <t>EMP0388</t>
  </si>
  <si>
    <t>9600000388</t>
  </si>
  <si>
    <t>sahil.shaikh388@company.com</t>
  </si>
  <si>
    <t>EMP0389</t>
  </si>
  <si>
    <t>9600000389</t>
  </si>
  <si>
    <t>aisha.khan389@company.com</t>
  </si>
  <si>
    <t>EMP0390</t>
  </si>
  <si>
    <t>9600000390</t>
  </si>
  <si>
    <t>riya.yadav390@company.com</t>
  </si>
  <si>
    <t>EMP0391</t>
  </si>
  <si>
    <t>9600000391</t>
  </si>
  <si>
    <t>vivek.more391@company.com</t>
  </si>
  <si>
    <t>EMP0392</t>
  </si>
  <si>
    <t>9600000392</t>
  </si>
  <si>
    <t>aditya.jadhav392@company.com</t>
  </si>
  <si>
    <t>EMP0393</t>
  </si>
  <si>
    <t>9600000393</t>
  </si>
  <si>
    <t>nisha.patil393@company.com</t>
  </si>
  <si>
    <t>EMP0394</t>
  </si>
  <si>
    <t>9600000394</t>
  </si>
  <si>
    <t>deepak.deshmukh394@company.com</t>
  </si>
  <si>
    <t>EMP0395</t>
  </si>
  <si>
    <t>9600000395</t>
  </si>
  <si>
    <t>komal.shinde395@company.com</t>
  </si>
  <si>
    <t>EMP0396</t>
  </si>
  <si>
    <t>9600000396</t>
  </si>
  <si>
    <t>sameer.mane396@company.com</t>
  </si>
  <si>
    <t>EMP0397</t>
  </si>
  <si>
    <t>9600000397</t>
  </si>
  <si>
    <t>farhan.chavan397@company.com</t>
  </si>
  <si>
    <t>EMP0398</t>
  </si>
  <si>
    <t>9600000398</t>
  </si>
  <si>
    <t>isha.ansari398@company.com</t>
  </si>
  <si>
    <t>EMP0399</t>
  </si>
  <si>
    <t>9600000399</t>
  </si>
  <si>
    <t>sonia.rathod399@company.com</t>
  </si>
  <si>
    <t>EMP0400</t>
  </si>
  <si>
    <t>9600000400</t>
  </si>
  <si>
    <t>akash.pawar400@company.com</t>
  </si>
  <si>
    <t>EMP0401</t>
  </si>
  <si>
    <t>9600000401</t>
  </si>
  <si>
    <t>rahul.sharma401@company.com</t>
  </si>
  <si>
    <t>EMP0402</t>
  </si>
  <si>
    <t>9600000402</t>
  </si>
  <si>
    <t>priya.patel402@company.com</t>
  </si>
  <si>
    <t>EMP0403</t>
  </si>
  <si>
    <t>9600000403</t>
  </si>
  <si>
    <t>amit.gupta403@company.com</t>
  </si>
  <si>
    <t>EMP0404</t>
  </si>
  <si>
    <t>9600000404</t>
  </si>
  <si>
    <t>sneha.singh404@company.com</t>
  </si>
  <si>
    <t>EMP0405</t>
  </si>
  <si>
    <t>9600000405</t>
  </si>
  <si>
    <t>rohan.verma405@company.com</t>
  </si>
  <si>
    <t>EMP0406</t>
  </si>
  <si>
    <t>9600000406</t>
  </si>
  <si>
    <t>pooja.joshi406@company.com</t>
  </si>
  <si>
    <t>EMP0407</t>
  </si>
  <si>
    <t>9600000407</t>
  </si>
  <si>
    <t>arjun.kulkarni407@company.com</t>
  </si>
  <si>
    <t>EMP0408</t>
  </si>
  <si>
    <t>9600000408</t>
  </si>
  <si>
    <t>neha.shaikh408@company.com</t>
  </si>
  <si>
    <t>EMP0409</t>
  </si>
  <si>
    <t>9600000409</t>
  </si>
  <si>
    <t>karan.khan409@company.com</t>
  </si>
  <si>
    <t>EMP0410</t>
  </si>
  <si>
    <t>9600000410</t>
  </si>
  <si>
    <t>anjali.yadav410@company.com</t>
  </si>
  <si>
    <t>EMP0411</t>
  </si>
  <si>
    <t>9600000411</t>
  </si>
  <si>
    <t>vikas.more411@company.com</t>
  </si>
  <si>
    <t>EMP0412</t>
  </si>
  <si>
    <t>9600000412</t>
  </si>
  <si>
    <t>meera.jadhav412@company.com</t>
  </si>
  <si>
    <t>EMP0413</t>
  </si>
  <si>
    <t>9600000413</t>
  </si>
  <si>
    <t>sahil.patil413@company.com</t>
  </si>
  <si>
    <t>EMP0414</t>
  </si>
  <si>
    <t>9600000414</t>
  </si>
  <si>
    <t>aisha.deshmukh414@company.com</t>
  </si>
  <si>
    <t>EMP0415</t>
  </si>
  <si>
    <t>9600000415</t>
  </si>
  <si>
    <t>riya.shinde415@company.com</t>
  </si>
  <si>
    <t>EMP0416</t>
  </si>
  <si>
    <t>9600000416</t>
  </si>
  <si>
    <t>vivek.mane416@company.com</t>
  </si>
  <si>
    <t>EMP0417</t>
  </si>
  <si>
    <t>9600000417</t>
  </si>
  <si>
    <t>aditya.chavan417@company.com</t>
  </si>
  <si>
    <t>EMP0418</t>
  </si>
  <si>
    <t>9600000418</t>
  </si>
  <si>
    <t>nisha.ansari418@company.com</t>
  </si>
  <si>
    <t>EMP0419</t>
  </si>
  <si>
    <t>9600000419</t>
  </si>
  <si>
    <t>deepak.rathod419@company.com</t>
  </si>
  <si>
    <t>EMP0420</t>
  </si>
  <si>
    <t>9600000420</t>
  </si>
  <si>
    <t>komal.pawar420@company.com</t>
  </si>
  <si>
    <t>EMP0421</t>
  </si>
  <si>
    <t>9600000421</t>
  </si>
  <si>
    <t>sameer.sharma421@company.com</t>
  </si>
  <si>
    <t>EMP0422</t>
  </si>
  <si>
    <t>9600000422</t>
  </si>
  <si>
    <t>farhan.patel422@company.com</t>
  </si>
  <si>
    <t>EMP0423</t>
  </si>
  <si>
    <t>9600000423</t>
  </si>
  <si>
    <t>isha.gupta423@company.com</t>
  </si>
  <si>
    <t>EMP0424</t>
  </si>
  <si>
    <t>9600000424</t>
  </si>
  <si>
    <t>sonia.singh424@company.com</t>
  </si>
  <si>
    <t>EMP0425</t>
  </si>
  <si>
    <t>9600000425</t>
  </si>
  <si>
    <t>akash.verma425@company.com</t>
  </si>
  <si>
    <t>EMP0426</t>
  </si>
  <si>
    <t>9600000426</t>
  </si>
  <si>
    <t>rahul.joshi426@company.com</t>
  </si>
  <si>
    <t>EMP0427</t>
  </si>
  <si>
    <t>9600000427</t>
  </si>
  <si>
    <t>priya.kulkarni427@company.com</t>
  </si>
  <si>
    <t>EMP0428</t>
  </si>
  <si>
    <t>9600000428</t>
  </si>
  <si>
    <t>amit.shaikh428@company.com</t>
  </si>
  <si>
    <t>EMP0429</t>
  </si>
  <si>
    <t>9600000429</t>
  </si>
  <si>
    <t>sneha.khan429@company.com</t>
  </si>
  <si>
    <t>EMP0430</t>
  </si>
  <si>
    <t>9600000430</t>
  </si>
  <si>
    <t>rohan.yadav430@company.com</t>
  </si>
  <si>
    <t>EMP0431</t>
  </si>
  <si>
    <t>9600000431</t>
  </si>
  <si>
    <t>pooja.more431@company.com</t>
  </si>
  <si>
    <t>EMP0432</t>
  </si>
  <si>
    <t>9600000432</t>
  </si>
  <si>
    <t>arjun.jadhav432@company.com</t>
  </si>
  <si>
    <t>EMP0433</t>
  </si>
  <si>
    <t>9600000433</t>
  </si>
  <si>
    <t>neha.patil433@company.com</t>
  </si>
  <si>
    <t>EMP0434</t>
  </si>
  <si>
    <t>9600000434</t>
  </si>
  <si>
    <t>karan.deshmukh434@company.com</t>
  </si>
  <si>
    <t>EMP0435</t>
  </si>
  <si>
    <t>9600000435</t>
  </si>
  <si>
    <t>anjali.shinde435@company.com</t>
  </si>
  <si>
    <t>EMP0436</t>
  </si>
  <si>
    <t>9600000436</t>
  </si>
  <si>
    <t>vikas.mane436@company.com</t>
  </si>
  <si>
    <t>EMP0437</t>
  </si>
  <si>
    <t>9600000437</t>
  </si>
  <si>
    <t>meera.chavan437@company.com</t>
  </si>
  <si>
    <t>EMP0438</t>
  </si>
  <si>
    <t>9600000438</t>
  </si>
  <si>
    <t>sahil.ansari438@company.com</t>
  </si>
  <si>
    <t>EMP0439</t>
  </si>
  <si>
    <t>9600000439</t>
  </si>
  <si>
    <t>aisha.rathod439@company.com</t>
  </si>
  <si>
    <t>EMP0440</t>
  </si>
  <si>
    <t>9600000440</t>
  </si>
  <si>
    <t>riya.pawar440@company.com</t>
  </si>
  <si>
    <t>EMP0441</t>
  </si>
  <si>
    <t>9600000441</t>
  </si>
  <si>
    <t>vivek.sharma441@company.com</t>
  </si>
  <si>
    <t>EMP0442</t>
  </si>
  <si>
    <t>9600000442</t>
  </si>
  <si>
    <t>aditya.patel442@company.com</t>
  </si>
  <si>
    <t>EMP0443</t>
  </si>
  <si>
    <t>9600000443</t>
  </si>
  <si>
    <t>nisha.gupta443@company.com</t>
  </si>
  <si>
    <t>EMP0444</t>
  </si>
  <si>
    <t>9600000444</t>
  </si>
  <si>
    <t>deepak.singh444@company.com</t>
  </si>
  <si>
    <t>EMP0445</t>
  </si>
  <si>
    <t>9600000445</t>
  </si>
  <si>
    <t>komal.verma445@company.com</t>
  </si>
  <si>
    <t>EMP0446</t>
  </si>
  <si>
    <t>9600000446</t>
  </si>
  <si>
    <t>sameer.joshi446@company.com</t>
  </si>
  <si>
    <t>EMP0447</t>
  </si>
  <si>
    <t>9600000447</t>
  </si>
  <si>
    <t>farhan.kulkarni447@company.com</t>
  </si>
  <si>
    <t>EMP0448</t>
  </si>
  <si>
    <t>9600000448</t>
  </si>
  <si>
    <t>isha.shaikh448@company.com</t>
  </si>
  <si>
    <t>EMP0449</t>
  </si>
  <si>
    <t>9600000449</t>
  </si>
  <si>
    <t>sonia.khan449@company.com</t>
  </si>
  <si>
    <t>EMP0450</t>
  </si>
  <si>
    <t>9600000450</t>
  </si>
  <si>
    <t>akash.yadav450@company.com</t>
  </si>
  <si>
    <t>EMP0451</t>
  </si>
  <si>
    <t>9600000451</t>
  </si>
  <si>
    <t>rahul.more451@company.com</t>
  </si>
  <si>
    <t>EMP0452</t>
  </si>
  <si>
    <t>9600000452</t>
  </si>
  <si>
    <t>priya.jadhav452@company.com</t>
  </si>
  <si>
    <t>EMP0453</t>
  </si>
  <si>
    <t>9600000453</t>
  </si>
  <si>
    <t>amit.patil453@company.com</t>
  </si>
  <si>
    <t>EMP0454</t>
  </si>
  <si>
    <t>9600000454</t>
  </si>
  <si>
    <t>sneha.deshmukh454@company.com</t>
  </si>
  <si>
    <t>EMP0455</t>
  </si>
  <si>
    <t>9600000455</t>
  </si>
  <si>
    <t>rohan.shinde455@company.com</t>
  </si>
  <si>
    <t>EMP0456</t>
  </si>
  <si>
    <t>9600000456</t>
  </si>
  <si>
    <t>pooja.mane456@company.com</t>
  </si>
  <si>
    <t>EMP0457</t>
  </si>
  <si>
    <t>9600000457</t>
  </si>
  <si>
    <t>arjun.chavan457@company.com</t>
  </si>
  <si>
    <t>EMP0458</t>
  </si>
  <si>
    <t>9600000458</t>
  </si>
  <si>
    <t>neha.ansari458@company.com</t>
  </si>
  <si>
    <t>EMP0459</t>
  </si>
  <si>
    <t>9600000459</t>
  </si>
  <si>
    <t>karan.rathod459@company.com</t>
  </si>
  <si>
    <t>EMP0460</t>
  </si>
  <si>
    <t>9600000460</t>
  </si>
  <si>
    <t>anjali.pawar460@company.com</t>
  </si>
  <si>
    <t>EMP0461</t>
  </si>
  <si>
    <t>9600000461</t>
  </si>
  <si>
    <t>vikas.sharma461@company.com</t>
  </si>
  <si>
    <t>EMP0462</t>
  </si>
  <si>
    <t>9600000462</t>
  </si>
  <si>
    <t>meera.patel462@company.com</t>
  </si>
  <si>
    <t>EMP0463</t>
  </si>
  <si>
    <t>9600000463</t>
  </si>
  <si>
    <t>sahil.gupta463@company.com</t>
  </si>
  <si>
    <t>EMP0464</t>
  </si>
  <si>
    <t>9600000464</t>
  </si>
  <si>
    <t>aisha.singh464@company.com</t>
  </si>
  <si>
    <t>EMP0465</t>
  </si>
  <si>
    <t>9600000465</t>
  </si>
  <si>
    <t>riya.verma465@company.com</t>
  </si>
  <si>
    <t>EMP0466</t>
  </si>
  <si>
    <t>9600000466</t>
  </si>
  <si>
    <t>vivek.joshi466@company.com</t>
  </si>
  <si>
    <t>EMP0467</t>
  </si>
  <si>
    <t>9600000467</t>
  </si>
  <si>
    <t>aditya.kulkarni467@company.com</t>
  </si>
  <si>
    <t>EMP0468</t>
  </si>
  <si>
    <t>9600000468</t>
  </si>
  <si>
    <t>nisha.shaikh468@company.com</t>
  </si>
  <si>
    <t>EMP0469</t>
  </si>
  <si>
    <t>9600000469</t>
  </si>
  <si>
    <t>deepak.khan469@company.com</t>
  </si>
  <si>
    <t>EMP0470</t>
  </si>
  <si>
    <t>9600000470</t>
  </si>
  <si>
    <t>komal.yadav470@company.com</t>
  </si>
  <si>
    <t>EMP0471</t>
  </si>
  <si>
    <t>9600000471</t>
  </si>
  <si>
    <t>sameer.more471@company.com</t>
  </si>
  <si>
    <t>EMP0472</t>
  </si>
  <si>
    <t>9600000472</t>
  </si>
  <si>
    <t>farhan.jadhav472@company.com</t>
  </si>
  <si>
    <t>EMP0473</t>
  </si>
  <si>
    <t>9600000473</t>
  </si>
  <si>
    <t>isha.patil473@company.com</t>
  </si>
  <si>
    <t>EMP0474</t>
  </si>
  <si>
    <t>9600000474</t>
  </si>
  <si>
    <t>sonia.deshmukh474@company.com</t>
  </si>
  <si>
    <t>EMP0475</t>
  </si>
  <si>
    <t>9600000475</t>
  </si>
  <si>
    <t>akash.shinde475@company.com</t>
  </si>
  <si>
    <t>EMP0476</t>
  </si>
  <si>
    <t>9600000476</t>
  </si>
  <si>
    <t>rahul.mane476@company.com</t>
  </si>
  <si>
    <t>EMP0477</t>
  </si>
  <si>
    <t>9600000477</t>
  </si>
  <si>
    <t>priya.chavan477@company.com</t>
  </si>
  <si>
    <t>EMP0478</t>
  </si>
  <si>
    <t>9600000478</t>
  </si>
  <si>
    <t>amit.ansari478@company.com</t>
  </si>
  <si>
    <t>EMP0479</t>
  </si>
  <si>
    <t>9600000479</t>
  </si>
  <si>
    <t>sneha.rathod479@company.com</t>
  </si>
  <si>
    <t>EMP0480</t>
  </si>
  <si>
    <t>9600000480</t>
  </si>
  <si>
    <t>rohan.pawar480@company.com</t>
  </si>
  <si>
    <t>EMP0481</t>
  </si>
  <si>
    <t>9600000481</t>
  </si>
  <si>
    <t>pooja.sharma481@company.com</t>
  </si>
  <si>
    <t>EMP0482</t>
  </si>
  <si>
    <t>9600000482</t>
  </si>
  <si>
    <t>arjun.patel482@company.com</t>
  </si>
  <si>
    <t>EMP0483</t>
  </si>
  <si>
    <t>9600000483</t>
  </si>
  <si>
    <t>neha.gupta483@company.com</t>
  </si>
  <si>
    <t>EMP0484</t>
  </si>
  <si>
    <t>9600000484</t>
  </si>
  <si>
    <t>karan.singh484@company.com</t>
  </si>
  <si>
    <t>EMP0485</t>
  </si>
  <si>
    <t>9600000485</t>
  </si>
  <si>
    <t>anjali.verma485@company.com</t>
  </si>
  <si>
    <t>EMP0486</t>
  </si>
  <si>
    <t>9600000486</t>
  </si>
  <si>
    <t>vikas.joshi486@company.com</t>
  </si>
  <si>
    <t>EMP0487</t>
  </si>
  <si>
    <t>9600000487</t>
  </si>
  <si>
    <t>meera.kulkarni487@company.com</t>
  </si>
  <si>
    <t>EMP0488</t>
  </si>
  <si>
    <t>9600000488</t>
  </si>
  <si>
    <t>sahil.shaikh488@company.com</t>
  </si>
  <si>
    <t>EMP0489</t>
  </si>
  <si>
    <t>9600000489</t>
  </si>
  <si>
    <t>aisha.khan489@company.com</t>
  </si>
  <si>
    <t>EMP0490</t>
  </si>
  <si>
    <t>9600000490</t>
  </si>
  <si>
    <t>riya.yadav490@company.com</t>
  </si>
  <si>
    <t>EMP0491</t>
  </si>
  <si>
    <t>9600000491</t>
  </si>
  <si>
    <t>vivek.more491@company.com</t>
  </si>
  <si>
    <t>EMP0492</t>
  </si>
  <si>
    <t>9600000492</t>
  </si>
  <si>
    <t>aditya.jadhav492@company.com</t>
  </si>
  <si>
    <t>EMP0493</t>
  </si>
  <si>
    <t>9600000493</t>
  </si>
  <si>
    <t>nisha.patil493@company.com</t>
  </si>
  <si>
    <t>EMP0494</t>
  </si>
  <si>
    <t>9600000494</t>
  </si>
  <si>
    <t>deepak.deshmukh494@company.com</t>
  </si>
  <si>
    <t>EMP0495</t>
  </si>
  <si>
    <t>9600000495</t>
  </si>
  <si>
    <t>komal.shinde495@company.com</t>
  </si>
  <si>
    <t>EMP0496</t>
  </si>
  <si>
    <t>9600000496</t>
  </si>
  <si>
    <t>sameer.mane496@company.com</t>
  </si>
  <si>
    <t>EMP0497</t>
  </si>
  <si>
    <t>9600000497</t>
  </si>
  <si>
    <t>farhan.chavan497@company.com</t>
  </si>
  <si>
    <t>EMP0498</t>
  </si>
  <si>
    <t>9600000498</t>
  </si>
  <si>
    <t>isha.ansari498@company.com</t>
  </si>
  <si>
    <t>EMP0499</t>
  </si>
  <si>
    <t>9600000499</t>
  </si>
  <si>
    <t>sonia.rathod499@company.com</t>
  </si>
  <si>
    <t>EMP0500</t>
  </si>
  <si>
    <t>9600000500</t>
  </si>
  <si>
    <t>akash.pawar500@company.com</t>
  </si>
  <si>
    <t>Attendance_ID</t>
  </si>
  <si>
    <t>Date</t>
  </si>
  <si>
    <t>Check_In</t>
  </si>
  <si>
    <t>Check_Out</t>
  </si>
  <si>
    <t>Working_Hours</t>
  </si>
  <si>
    <t>Status</t>
  </si>
  <si>
    <t>ATT0001</t>
  </si>
  <si>
    <t>Present</t>
  </si>
  <si>
    <t>ATT0002</t>
  </si>
  <si>
    <t>ATT0003</t>
  </si>
  <si>
    <t>Absent</t>
  </si>
  <si>
    <t>ATT0004</t>
  </si>
  <si>
    <t>Late</t>
  </si>
  <si>
    <t>ATT0005</t>
  </si>
  <si>
    <t>ATT0006</t>
  </si>
  <si>
    <t>ATT0007</t>
  </si>
  <si>
    <t>ATT0008</t>
  </si>
  <si>
    <t>ATT0009</t>
  </si>
  <si>
    <t>ATT0010</t>
  </si>
  <si>
    <t>ATT0011</t>
  </si>
  <si>
    <t>ATT0012</t>
  </si>
  <si>
    <t>ATT0013</t>
  </si>
  <si>
    <t>ATT0014</t>
  </si>
  <si>
    <t>ATT0015</t>
  </si>
  <si>
    <t>ATT0016</t>
  </si>
  <si>
    <t>ATT0017</t>
  </si>
  <si>
    <t>ATT0018</t>
  </si>
  <si>
    <t>ATT0019</t>
  </si>
  <si>
    <t>ATT0020</t>
  </si>
  <si>
    <t>ATT0021</t>
  </si>
  <si>
    <t>ATT0022</t>
  </si>
  <si>
    <t>ATT0023</t>
  </si>
  <si>
    <t>ATT0024</t>
  </si>
  <si>
    <t>ATT0025</t>
  </si>
  <si>
    <t>ATT0026</t>
  </si>
  <si>
    <t>ATT0027</t>
  </si>
  <si>
    <t>ATT0028</t>
  </si>
  <si>
    <t>ATT0029</t>
  </si>
  <si>
    <t>ATT0030</t>
  </si>
  <si>
    <t>ATT0031</t>
  </si>
  <si>
    <t>ATT0032</t>
  </si>
  <si>
    <t>ATT0033</t>
  </si>
  <si>
    <t>ATT0034</t>
  </si>
  <si>
    <t>ATT0035</t>
  </si>
  <si>
    <t>ATT0036</t>
  </si>
  <si>
    <t>ATT0037</t>
  </si>
  <si>
    <t>ATT0038</t>
  </si>
  <si>
    <t>ATT0039</t>
  </si>
  <si>
    <t>ATT0040</t>
  </si>
  <si>
    <t>ATT0041</t>
  </si>
  <si>
    <t>ATT0042</t>
  </si>
  <si>
    <t>ATT0043</t>
  </si>
  <si>
    <t>ATT0044</t>
  </si>
  <si>
    <t>ATT0045</t>
  </si>
  <si>
    <t>ATT0046</t>
  </si>
  <si>
    <t>ATT0047</t>
  </si>
  <si>
    <t>ATT0048</t>
  </si>
  <si>
    <t>ATT0049</t>
  </si>
  <si>
    <t>ATT0050</t>
  </si>
  <si>
    <t>ATT0051</t>
  </si>
  <si>
    <t>ATT0052</t>
  </si>
  <si>
    <t>ATT0053</t>
  </si>
  <si>
    <t>ATT0054</t>
  </si>
  <si>
    <t>ATT0055</t>
  </si>
  <si>
    <t>ATT0056</t>
  </si>
  <si>
    <t>ATT0057</t>
  </si>
  <si>
    <t>ATT0058</t>
  </si>
  <si>
    <t>ATT0059</t>
  </si>
  <si>
    <t>ATT0060</t>
  </si>
  <si>
    <t>ATT0061</t>
  </si>
  <si>
    <t>ATT0062</t>
  </si>
  <si>
    <t>ATT0063</t>
  </si>
  <si>
    <t>ATT0064</t>
  </si>
  <si>
    <t>ATT0065</t>
  </si>
  <si>
    <t>ATT0066</t>
  </si>
  <si>
    <t>ATT0067</t>
  </si>
  <si>
    <t>ATT0068</t>
  </si>
  <si>
    <t>ATT0069</t>
  </si>
  <si>
    <t>ATT0070</t>
  </si>
  <si>
    <t>ATT0071</t>
  </si>
  <si>
    <t>ATT0072</t>
  </si>
  <si>
    <t>ATT0073</t>
  </si>
  <si>
    <t>ATT0074</t>
  </si>
  <si>
    <t>ATT0075</t>
  </si>
  <si>
    <t>ATT0076</t>
  </si>
  <si>
    <t>ATT0077</t>
  </si>
  <si>
    <t>ATT0078</t>
  </si>
  <si>
    <t>ATT0079</t>
  </si>
  <si>
    <t>ATT0080</t>
  </si>
  <si>
    <t>ATT0081</t>
  </si>
  <si>
    <t>ATT0082</t>
  </si>
  <si>
    <t>ATT0083</t>
  </si>
  <si>
    <t>ATT0084</t>
  </si>
  <si>
    <t>ATT0085</t>
  </si>
  <si>
    <t>ATT0086</t>
  </si>
  <si>
    <t>ATT0087</t>
  </si>
  <si>
    <t>ATT0088</t>
  </si>
  <si>
    <t>ATT0089</t>
  </si>
  <si>
    <t>ATT0090</t>
  </si>
  <si>
    <t>ATT0091</t>
  </si>
  <si>
    <t>ATT0092</t>
  </si>
  <si>
    <t>ATT0093</t>
  </si>
  <si>
    <t>ATT0094</t>
  </si>
  <si>
    <t>ATT0095</t>
  </si>
  <si>
    <t>ATT0096</t>
  </si>
  <si>
    <t>ATT0097</t>
  </si>
  <si>
    <t>ATT0098</t>
  </si>
  <si>
    <t>ATT0099</t>
  </si>
  <si>
    <t>ATT0100</t>
  </si>
  <si>
    <t>ATT0101</t>
  </si>
  <si>
    <t>ATT0102</t>
  </si>
  <si>
    <t>ATT0103</t>
  </si>
  <si>
    <t>ATT0104</t>
  </si>
  <si>
    <t>ATT0105</t>
  </si>
  <si>
    <t>ATT0106</t>
  </si>
  <si>
    <t>ATT0107</t>
  </si>
  <si>
    <t>ATT0108</t>
  </si>
  <si>
    <t>ATT0109</t>
  </si>
  <si>
    <t>ATT0110</t>
  </si>
  <si>
    <t>ATT0111</t>
  </si>
  <si>
    <t>ATT0112</t>
  </si>
  <si>
    <t>ATT0113</t>
  </si>
  <si>
    <t>ATT0114</t>
  </si>
  <si>
    <t>ATT0115</t>
  </si>
  <si>
    <t>ATT0116</t>
  </si>
  <si>
    <t>ATT0117</t>
  </si>
  <si>
    <t>ATT0118</t>
  </si>
  <si>
    <t>ATT0119</t>
  </si>
  <si>
    <t>ATT0120</t>
  </si>
  <si>
    <t>ATT0121</t>
  </si>
  <si>
    <t>ATT0122</t>
  </si>
  <si>
    <t>ATT0123</t>
  </si>
  <si>
    <t>ATT0124</t>
  </si>
  <si>
    <t>ATT0125</t>
  </si>
  <si>
    <t>ATT0126</t>
  </si>
  <si>
    <t>ATT0127</t>
  </si>
  <si>
    <t>ATT0128</t>
  </si>
  <si>
    <t>ATT0129</t>
  </si>
  <si>
    <t>ATT0130</t>
  </si>
  <si>
    <t>ATT0131</t>
  </si>
  <si>
    <t>ATT0132</t>
  </si>
  <si>
    <t>ATT0133</t>
  </si>
  <si>
    <t>ATT0134</t>
  </si>
  <si>
    <t>ATT0135</t>
  </si>
  <si>
    <t>ATT0136</t>
  </si>
  <si>
    <t>ATT0137</t>
  </si>
  <si>
    <t>ATT0138</t>
  </si>
  <si>
    <t>ATT0139</t>
  </si>
  <si>
    <t>ATT0140</t>
  </si>
  <si>
    <t>ATT0141</t>
  </si>
  <si>
    <t>ATT0142</t>
  </si>
  <si>
    <t>ATT0143</t>
  </si>
  <si>
    <t>ATT0144</t>
  </si>
  <si>
    <t>ATT0145</t>
  </si>
  <si>
    <t>ATT0146</t>
  </si>
  <si>
    <t>ATT0147</t>
  </si>
  <si>
    <t>ATT0148</t>
  </si>
  <si>
    <t>ATT0149</t>
  </si>
  <si>
    <t>ATT0150</t>
  </si>
  <si>
    <t>ATT0151</t>
  </si>
  <si>
    <t>ATT0152</t>
  </si>
  <si>
    <t>ATT0153</t>
  </si>
  <si>
    <t>ATT0154</t>
  </si>
  <si>
    <t>ATT0155</t>
  </si>
  <si>
    <t>ATT0156</t>
  </si>
  <si>
    <t>ATT0157</t>
  </si>
  <si>
    <t>ATT0158</t>
  </si>
  <si>
    <t>ATT0159</t>
  </si>
  <si>
    <t>ATT0160</t>
  </si>
  <si>
    <t>ATT0161</t>
  </si>
  <si>
    <t>ATT0162</t>
  </si>
  <si>
    <t>ATT0163</t>
  </si>
  <si>
    <t>ATT0164</t>
  </si>
  <si>
    <t>ATT0165</t>
  </si>
  <si>
    <t>ATT0166</t>
  </si>
  <si>
    <t>ATT0167</t>
  </si>
  <si>
    <t>ATT0168</t>
  </si>
  <si>
    <t>ATT0169</t>
  </si>
  <si>
    <t>ATT0170</t>
  </si>
  <si>
    <t>ATT0171</t>
  </si>
  <si>
    <t>ATT0172</t>
  </si>
  <si>
    <t>ATT0173</t>
  </si>
  <si>
    <t>ATT0174</t>
  </si>
  <si>
    <t>ATT0175</t>
  </si>
  <si>
    <t>ATT0176</t>
  </si>
  <si>
    <t>ATT0177</t>
  </si>
  <si>
    <t>ATT0178</t>
  </si>
  <si>
    <t>ATT0179</t>
  </si>
  <si>
    <t>ATT0180</t>
  </si>
  <si>
    <t>ATT0181</t>
  </si>
  <si>
    <t>ATT0182</t>
  </si>
  <si>
    <t>ATT0183</t>
  </si>
  <si>
    <t>ATT0184</t>
  </si>
  <si>
    <t>ATT0185</t>
  </si>
  <si>
    <t>ATT0186</t>
  </si>
  <si>
    <t>ATT0187</t>
  </si>
  <si>
    <t>ATT0188</t>
  </si>
  <si>
    <t>ATT0189</t>
  </si>
  <si>
    <t>ATT0190</t>
  </si>
  <si>
    <t>ATT0191</t>
  </si>
  <si>
    <t>ATT0192</t>
  </si>
  <si>
    <t>ATT0193</t>
  </si>
  <si>
    <t>ATT0194</t>
  </si>
  <si>
    <t>ATT0195</t>
  </si>
  <si>
    <t>ATT0196</t>
  </si>
  <si>
    <t>ATT0197</t>
  </si>
  <si>
    <t>ATT0198</t>
  </si>
  <si>
    <t>ATT0199</t>
  </si>
  <si>
    <t>ATT0200</t>
  </si>
  <si>
    <t>ATT0201</t>
  </si>
  <si>
    <t>ATT0202</t>
  </si>
  <si>
    <t>ATT0203</t>
  </si>
  <si>
    <t>ATT0204</t>
  </si>
  <si>
    <t>ATT0205</t>
  </si>
  <si>
    <t>ATT0206</t>
  </si>
  <si>
    <t>ATT0207</t>
  </si>
  <si>
    <t>ATT0208</t>
  </si>
  <si>
    <t>ATT0209</t>
  </si>
  <si>
    <t>ATT0210</t>
  </si>
  <si>
    <t>ATT0211</t>
  </si>
  <si>
    <t>ATT0212</t>
  </si>
  <si>
    <t>ATT0213</t>
  </si>
  <si>
    <t>ATT0214</t>
  </si>
  <si>
    <t>ATT0215</t>
  </si>
  <si>
    <t>ATT0216</t>
  </si>
  <si>
    <t>ATT0217</t>
  </si>
  <si>
    <t>ATT0218</t>
  </si>
  <si>
    <t>ATT0219</t>
  </si>
  <si>
    <t>ATT0220</t>
  </si>
  <si>
    <t>ATT0221</t>
  </si>
  <si>
    <t>ATT0222</t>
  </si>
  <si>
    <t>ATT0223</t>
  </si>
  <si>
    <t>ATT0224</t>
  </si>
  <si>
    <t>ATT0225</t>
  </si>
  <si>
    <t>ATT0226</t>
  </si>
  <si>
    <t>ATT0227</t>
  </si>
  <si>
    <t>ATT0228</t>
  </si>
  <si>
    <t>ATT0229</t>
  </si>
  <si>
    <t>ATT0230</t>
  </si>
  <si>
    <t>ATT0231</t>
  </si>
  <si>
    <t>ATT0232</t>
  </si>
  <si>
    <t>ATT0233</t>
  </si>
  <si>
    <t>ATT0234</t>
  </si>
  <si>
    <t>ATT0235</t>
  </si>
  <si>
    <t>ATT0236</t>
  </si>
  <si>
    <t>ATT0237</t>
  </si>
  <si>
    <t>ATT0238</t>
  </si>
  <si>
    <t>ATT0239</t>
  </si>
  <si>
    <t>ATT0240</t>
  </si>
  <si>
    <t>ATT0241</t>
  </si>
  <si>
    <t>ATT0242</t>
  </si>
  <si>
    <t>ATT0243</t>
  </si>
  <si>
    <t>ATT0244</t>
  </si>
  <si>
    <t>ATT0245</t>
  </si>
  <si>
    <t>ATT0246</t>
  </si>
  <si>
    <t>ATT0247</t>
  </si>
  <si>
    <t>ATT0248</t>
  </si>
  <si>
    <t>ATT0249</t>
  </si>
  <si>
    <t>ATT0250</t>
  </si>
  <si>
    <t>ATT0251</t>
  </si>
  <si>
    <t>ATT0252</t>
  </si>
  <si>
    <t>ATT0253</t>
  </si>
  <si>
    <t>ATT0254</t>
  </si>
  <si>
    <t>ATT0255</t>
  </si>
  <si>
    <t>ATT0256</t>
  </si>
  <si>
    <t>ATT0257</t>
  </si>
  <si>
    <t>ATT0258</t>
  </si>
  <si>
    <t>ATT0259</t>
  </si>
  <si>
    <t>ATT0260</t>
  </si>
  <si>
    <t>ATT0261</t>
  </si>
  <si>
    <t>ATT0262</t>
  </si>
  <si>
    <t>ATT0263</t>
  </si>
  <si>
    <t>ATT0264</t>
  </si>
  <si>
    <t>ATT0265</t>
  </si>
  <si>
    <t>ATT0266</t>
  </si>
  <si>
    <t>ATT0267</t>
  </si>
  <si>
    <t>ATT0268</t>
  </si>
  <si>
    <t>ATT0269</t>
  </si>
  <si>
    <t>ATT0270</t>
  </si>
  <si>
    <t>ATT0271</t>
  </si>
  <si>
    <t>ATT0272</t>
  </si>
  <si>
    <t>ATT0273</t>
  </si>
  <si>
    <t>ATT0274</t>
  </si>
  <si>
    <t>ATT0275</t>
  </si>
  <si>
    <t>ATT0276</t>
  </si>
  <si>
    <t>ATT0277</t>
  </si>
  <si>
    <t>ATT0278</t>
  </si>
  <si>
    <t>ATT0279</t>
  </si>
  <si>
    <t>ATT0280</t>
  </si>
  <si>
    <t>ATT0281</t>
  </si>
  <si>
    <t>ATT0282</t>
  </si>
  <si>
    <t>ATT0283</t>
  </si>
  <si>
    <t>ATT0284</t>
  </si>
  <si>
    <t>ATT0285</t>
  </si>
  <si>
    <t>ATT0286</t>
  </si>
  <si>
    <t>ATT0287</t>
  </si>
  <si>
    <t>ATT0288</t>
  </si>
  <si>
    <t>ATT0289</t>
  </si>
  <si>
    <t>ATT0290</t>
  </si>
  <si>
    <t>ATT0291</t>
  </si>
  <si>
    <t>ATT0292</t>
  </si>
  <si>
    <t>ATT0293</t>
  </si>
  <si>
    <t>ATT0294</t>
  </si>
  <si>
    <t>ATT0295</t>
  </si>
  <si>
    <t>ATT0296</t>
  </si>
  <si>
    <t>ATT0297</t>
  </si>
  <si>
    <t>ATT0298</t>
  </si>
  <si>
    <t>ATT0299</t>
  </si>
  <si>
    <t>ATT0300</t>
  </si>
  <si>
    <t>ATT0301</t>
  </si>
  <si>
    <t>ATT0302</t>
  </si>
  <si>
    <t>ATT0303</t>
  </si>
  <si>
    <t>ATT0304</t>
  </si>
  <si>
    <t>ATT0305</t>
  </si>
  <si>
    <t>ATT0306</t>
  </si>
  <si>
    <t>ATT0307</t>
  </si>
  <si>
    <t>ATT0308</t>
  </si>
  <si>
    <t>ATT0309</t>
  </si>
  <si>
    <t>ATT0310</t>
  </si>
  <si>
    <t>ATT0311</t>
  </si>
  <si>
    <t>ATT0312</t>
  </si>
  <si>
    <t>ATT0313</t>
  </si>
  <si>
    <t>ATT0314</t>
  </si>
  <si>
    <t>ATT0315</t>
  </si>
  <si>
    <t>ATT0316</t>
  </si>
  <si>
    <t>ATT0317</t>
  </si>
  <si>
    <t>ATT0318</t>
  </si>
  <si>
    <t>ATT0319</t>
  </si>
  <si>
    <t>ATT0320</t>
  </si>
  <si>
    <t>ATT0321</t>
  </si>
  <si>
    <t>ATT0322</t>
  </si>
  <si>
    <t>ATT0323</t>
  </si>
  <si>
    <t>ATT0324</t>
  </si>
  <si>
    <t>ATT0325</t>
  </si>
  <si>
    <t>ATT0326</t>
  </si>
  <si>
    <t>ATT0327</t>
  </si>
  <si>
    <t>ATT0328</t>
  </si>
  <si>
    <t>ATT0329</t>
  </si>
  <si>
    <t>ATT0330</t>
  </si>
  <si>
    <t>ATT0331</t>
  </si>
  <si>
    <t>ATT0332</t>
  </si>
  <si>
    <t>ATT0333</t>
  </si>
  <si>
    <t>ATT0334</t>
  </si>
  <si>
    <t>ATT0335</t>
  </si>
  <si>
    <t>ATT0336</t>
  </si>
  <si>
    <t>ATT0337</t>
  </si>
  <si>
    <t>ATT0338</t>
  </si>
  <si>
    <t>ATT0339</t>
  </si>
  <si>
    <t>ATT0340</t>
  </si>
  <si>
    <t>ATT0341</t>
  </si>
  <si>
    <t>ATT0342</t>
  </si>
  <si>
    <t>ATT0343</t>
  </si>
  <si>
    <t>ATT0344</t>
  </si>
  <si>
    <t>ATT0345</t>
  </si>
  <si>
    <t>ATT0346</t>
  </si>
  <si>
    <t>ATT0347</t>
  </si>
  <si>
    <t>ATT0348</t>
  </si>
  <si>
    <t>ATT0349</t>
  </si>
  <si>
    <t>ATT0350</t>
  </si>
  <si>
    <t>ATT0351</t>
  </si>
  <si>
    <t>ATT0352</t>
  </si>
  <si>
    <t>ATT0353</t>
  </si>
  <si>
    <t>ATT0354</t>
  </si>
  <si>
    <t>ATT0355</t>
  </si>
  <si>
    <t>ATT0356</t>
  </si>
  <si>
    <t>ATT0357</t>
  </si>
  <si>
    <t>ATT0358</t>
  </si>
  <si>
    <t>ATT0359</t>
  </si>
  <si>
    <t>ATT0360</t>
  </si>
  <si>
    <t>ATT0361</t>
  </si>
  <si>
    <t>ATT0362</t>
  </si>
  <si>
    <t>ATT0363</t>
  </si>
  <si>
    <t>ATT0364</t>
  </si>
  <si>
    <t>ATT0365</t>
  </si>
  <si>
    <t>ATT0366</t>
  </si>
  <si>
    <t>ATT0367</t>
  </si>
  <si>
    <t>ATT0368</t>
  </si>
  <si>
    <t>ATT0369</t>
  </si>
  <si>
    <t>ATT0370</t>
  </si>
  <si>
    <t>ATT0371</t>
  </si>
  <si>
    <t>ATT0372</t>
  </si>
  <si>
    <t>ATT0373</t>
  </si>
  <si>
    <t>ATT0374</t>
  </si>
  <si>
    <t>ATT0375</t>
  </si>
  <si>
    <t>ATT0376</t>
  </si>
  <si>
    <t>ATT0377</t>
  </si>
  <si>
    <t>ATT0378</t>
  </si>
  <si>
    <t>ATT0379</t>
  </si>
  <si>
    <t>ATT0380</t>
  </si>
  <si>
    <t>ATT0381</t>
  </si>
  <si>
    <t>ATT0382</t>
  </si>
  <si>
    <t>ATT0383</t>
  </si>
  <si>
    <t>ATT0384</t>
  </si>
  <si>
    <t>ATT0385</t>
  </si>
  <si>
    <t>ATT0386</t>
  </si>
  <si>
    <t>ATT0387</t>
  </si>
  <si>
    <t>ATT0388</t>
  </si>
  <si>
    <t>ATT0389</t>
  </si>
  <si>
    <t>ATT0390</t>
  </si>
  <si>
    <t>ATT0391</t>
  </si>
  <si>
    <t>ATT0392</t>
  </si>
  <si>
    <t>ATT0393</t>
  </si>
  <si>
    <t>ATT0394</t>
  </si>
  <si>
    <t>ATT0395</t>
  </si>
  <si>
    <t>ATT0396</t>
  </si>
  <si>
    <t>ATT0397</t>
  </si>
  <si>
    <t>ATT0398</t>
  </si>
  <si>
    <t>ATT0399</t>
  </si>
  <si>
    <t>ATT0400</t>
  </si>
  <si>
    <t>ATT0401</t>
  </si>
  <si>
    <t>ATT0402</t>
  </si>
  <si>
    <t>ATT0403</t>
  </si>
  <si>
    <t>ATT0404</t>
  </si>
  <si>
    <t>ATT0405</t>
  </si>
  <si>
    <t>ATT0406</t>
  </si>
  <si>
    <t>ATT0407</t>
  </si>
  <si>
    <t>ATT0408</t>
  </si>
  <si>
    <t>ATT0409</t>
  </si>
  <si>
    <t>ATT0410</t>
  </si>
  <si>
    <t>ATT0411</t>
  </si>
  <si>
    <t>ATT0412</t>
  </si>
  <si>
    <t>ATT0413</t>
  </si>
  <si>
    <t>ATT0414</t>
  </si>
  <si>
    <t>ATT0415</t>
  </si>
  <si>
    <t>ATT0416</t>
  </si>
  <si>
    <t>ATT0417</t>
  </si>
  <si>
    <t>ATT0418</t>
  </si>
  <si>
    <t>ATT0419</t>
  </si>
  <si>
    <t>ATT0420</t>
  </si>
  <si>
    <t>ATT0421</t>
  </si>
  <si>
    <t>ATT0422</t>
  </si>
  <si>
    <t>ATT0423</t>
  </si>
  <si>
    <t>ATT0424</t>
  </si>
  <si>
    <t>ATT0425</t>
  </si>
  <si>
    <t>ATT0426</t>
  </si>
  <si>
    <t>ATT0427</t>
  </si>
  <si>
    <t>ATT0428</t>
  </si>
  <si>
    <t>ATT0429</t>
  </si>
  <si>
    <t>ATT0430</t>
  </si>
  <si>
    <t>ATT0431</t>
  </si>
  <si>
    <t>ATT0432</t>
  </si>
  <si>
    <t>ATT0433</t>
  </si>
  <si>
    <t>ATT0434</t>
  </si>
  <si>
    <t>ATT0435</t>
  </si>
  <si>
    <t>ATT0436</t>
  </si>
  <si>
    <t>ATT0437</t>
  </si>
  <si>
    <t>ATT0438</t>
  </si>
  <si>
    <t>ATT0439</t>
  </si>
  <si>
    <t>ATT0440</t>
  </si>
  <si>
    <t>ATT0441</t>
  </si>
  <si>
    <t>ATT0442</t>
  </si>
  <si>
    <t>ATT0443</t>
  </si>
  <si>
    <t>ATT0444</t>
  </si>
  <si>
    <t>ATT0445</t>
  </si>
  <si>
    <t>ATT0446</t>
  </si>
  <si>
    <t>ATT0447</t>
  </si>
  <si>
    <t>ATT0448</t>
  </si>
  <si>
    <t>ATT0449</t>
  </si>
  <si>
    <t>ATT0450</t>
  </si>
  <si>
    <t>ATT0451</t>
  </si>
  <si>
    <t>ATT0452</t>
  </si>
  <si>
    <t>ATT0453</t>
  </si>
  <si>
    <t>ATT0454</t>
  </si>
  <si>
    <t>ATT0455</t>
  </si>
  <si>
    <t>ATT0456</t>
  </si>
  <si>
    <t>ATT0457</t>
  </si>
  <si>
    <t>ATT0458</t>
  </si>
  <si>
    <t>ATT0459</t>
  </si>
  <si>
    <t>ATT0460</t>
  </si>
  <si>
    <t>ATT0461</t>
  </si>
  <si>
    <t>ATT0462</t>
  </si>
  <si>
    <t>ATT0463</t>
  </si>
  <si>
    <t>ATT0464</t>
  </si>
  <si>
    <t>ATT0465</t>
  </si>
  <si>
    <t>ATT0466</t>
  </si>
  <si>
    <t>ATT0467</t>
  </si>
  <si>
    <t>ATT0468</t>
  </si>
  <si>
    <t>ATT0469</t>
  </si>
  <si>
    <t>ATT0470</t>
  </si>
  <si>
    <t>ATT0471</t>
  </si>
  <si>
    <t>ATT0472</t>
  </si>
  <si>
    <t>ATT0473</t>
  </si>
  <si>
    <t>ATT0474</t>
  </si>
  <si>
    <t>ATT0475</t>
  </si>
  <si>
    <t>ATT0476</t>
  </si>
  <si>
    <t>ATT0477</t>
  </si>
  <si>
    <t>ATT0478</t>
  </si>
  <si>
    <t>ATT0479</t>
  </si>
  <si>
    <t>ATT0480</t>
  </si>
  <si>
    <t>ATT0481</t>
  </si>
  <si>
    <t>ATT0482</t>
  </si>
  <si>
    <t>ATT0483</t>
  </si>
  <si>
    <t>ATT0484</t>
  </si>
  <si>
    <t>ATT0485</t>
  </si>
  <si>
    <t>ATT0486</t>
  </si>
  <si>
    <t>ATT0487</t>
  </si>
  <si>
    <t>ATT0488</t>
  </si>
  <si>
    <t>ATT0489</t>
  </si>
  <si>
    <t>ATT0490</t>
  </si>
  <si>
    <t>ATT0491</t>
  </si>
  <si>
    <t>ATT0492</t>
  </si>
  <si>
    <t>ATT0493</t>
  </si>
  <si>
    <t>ATT0494</t>
  </si>
  <si>
    <t>ATT0495</t>
  </si>
  <si>
    <t>ATT0496</t>
  </si>
  <si>
    <t>ATT0497</t>
  </si>
  <si>
    <t>ATT0498</t>
  </si>
  <si>
    <t>ATT0499</t>
  </si>
  <si>
    <t>ATT0500</t>
  </si>
  <si>
    <t>Leave_ID</t>
  </si>
  <si>
    <t>Leave_Type</t>
  </si>
  <si>
    <t>From_Date</t>
  </si>
  <si>
    <t>To_Date</t>
  </si>
  <si>
    <t>Days</t>
  </si>
  <si>
    <t>Reason</t>
  </si>
  <si>
    <t>LV0001</t>
  </si>
  <si>
    <t>Sick Leave</t>
  </si>
  <si>
    <t>Pending</t>
  </si>
  <si>
    <t>Medical reason</t>
  </si>
  <si>
    <t>LV0002</t>
  </si>
  <si>
    <t>Annual Leave</t>
  </si>
  <si>
    <t>Rejected</t>
  </si>
  <si>
    <t>Family function</t>
  </si>
  <si>
    <t>LV0003</t>
  </si>
  <si>
    <t>Work From Home</t>
  </si>
  <si>
    <t>Approved</t>
  </si>
  <si>
    <t>Exam preparation</t>
  </si>
  <si>
    <t>LV0004</t>
  </si>
  <si>
    <t>Casual Leave</t>
  </si>
  <si>
    <t>Travel</t>
  </si>
  <si>
    <t>LV0005</t>
  </si>
  <si>
    <t>Personal work</t>
  </si>
  <si>
    <t>LV0006</t>
  </si>
  <si>
    <t>LV0007</t>
  </si>
  <si>
    <t>LV0008</t>
  </si>
  <si>
    <t>LV0009</t>
  </si>
  <si>
    <t>LV0010</t>
  </si>
  <si>
    <t>LV0011</t>
  </si>
  <si>
    <t>LV0012</t>
  </si>
  <si>
    <t>LV0013</t>
  </si>
  <si>
    <t>LV0014</t>
  </si>
  <si>
    <t>LV0015</t>
  </si>
  <si>
    <t>LV0016</t>
  </si>
  <si>
    <t>LV0017</t>
  </si>
  <si>
    <t>LV0018</t>
  </si>
  <si>
    <t>LV0019</t>
  </si>
  <si>
    <t>LV0020</t>
  </si>
  <si>
    <t>LV0021</t>
  </si>
  <si>
    <t>LV0022</t>
  </si>
  <si>
    <t>LV0023</t>
  </si>
  <si>
    <t>LV0024</t>
  </si>
  <si>
    <t>LV0025</t>
  </si>
  <si>
    <t>LV0026</t>
  </si>
  <si>
    <t>LV0027</t>
  </si>
  <si>
    <t>LV0028</t>
  </si>
  <si>
    <t>LV0029</t>
  </si>
  <si>
    <t>LV0030</t>
  </si>
  <si>
    <t>LV0031</t>
  </si>
  <si>
    <t>LV0032</t>
  </si>
  <si>
    <t>LV0033</t>
  </si>
  <si>
    <t>LV0034</t>
  </si>
  <si>
    <t>LV0035</t>
  </si>
  <si>
    <t>LV0036</t>
  </si>
  <si>
    <t>LV0037</t>
  </si>
  <si>
    <t>LV0038</t>
  </si>
  <si>
    <t>LV0039</t>
  </si>
  <si>
    <t>LV0040</t>
  </si>
  <si>
    <t>LV0041</t>
  </si>
  <si>
    <t>LV0042</t>
  </si>
  <si>
    <t>LV0043</t>
  </si>
  <si>
    <t>LV0044</t>
  </si>
  <si>
    <t>LV0045</t>
  </si>
  <si>
    <t>LV0046</t>
  </si>
  <si>
    <t>LV0047</t>
  </si>
  <si>
    <t>LV0048</t>
  </si>
  <si>
    <t>LV0049</t>
  </si>
  <si>
    <t>LV0050</t>
  </si>
  <si>
    <t>LV0051</t>
  </si>
  <si>
    <t>LV0052</t>
  </si>
  <si>
    <t>LV0053</t>
  </si>
  <si>
    <t>LV0054</t>
  </si>
  <si>
    <t>LV0055</t>
  </si>
  <si>
    <t>LV0056</t>
  </si>
  <si>
    <t>LV0057</t>
  </si>
  <si>
    <t>LV0058</t>
  </si>
  <si>
    <t>LV0059</t>
  </si>
  <si>
    <t>LV0060</t>
  </si>
  <si>
    <t>LV0061</t>
  </si>
  <si>
    <t>LV0062</t>
  </si>
  <si>
    <t>LV0063</t>
  </si>
  <si>
    <t>LV0064</t>
  </si>
  <si>
    <t>LV0065</t>
  </si>
  <si>
    <t>LV0066</t>
  </si>
  <si>
    <t>LV0067</t>
  </si>
  <si>
    <t>LV0068</t>
  </si>
  <si>
    <t>LV0069</t>
  </si>
  <si>
    <t>LV0070</t>
  </si>
  <si>
    <t>LV0071</t>
  </si>
  <si>
    <t>LV0072</t>
  </si>
  <si>
    <t>LV0073</t>
  </si>
  <si>
    <t>LV0074</t>
  </si>
  <si>
    <t>LV0075</t>
  </si>
  <si>
    <t>LV0076</t>
  </si>
  <si>
    <t>LV0077</t>
  </si>
  <si>
    <t>LV0078</t>
  </si>
  <si>
    <t>LV0079</t>
  </si>
  <si>
    <t>LV0080</t>
  </si>
  <si>
    <t>LV0081</t>
  </si>
  <si>
    <t>LV0082</t>
  </si>
  <si>
    <t>LV0083</t>
  </si>
  <si>
    <t>LV0084</t>
  </si>
  <si>
    <t>LV0085</t>
  </si>
  <si>
    <t>LV0086</t>
  </si>
  <si>
    <t>LV0087</t>
  </si>
  <si>
    <t>LV0088</t>
  </si>
  <si>
    <t>LV0089</t>
  </si>
  <si>
    <t>LV0090</t>
  </si>
  <si>
    <t>LV0091</t>
  </si>
  <si>
    <t>LV0092</t>
  </si>
  <si>
    <t>LV0093</t>
  </si>
  <si>
    <t>LV0094</t>
  </si>
  <si>
    <t>LV0095</t>
  </si>
  <si>
    <t>LV0096</t>
  </si>
  <si>
    <t>LV0097</t>
  </si>
  <si>
    <t>LV0098</t>
  </si>
  <si>
    <t>LV0099</t>
  </si>
  <si>
    <t>LV0100</t>
  </si>
  <si>
    <t>LV0101</t>
  </si>
  <si>
    <t>LV0102</t>
  </si>
  <si>
    <t>LV0103</t>
  </si>
  <si>
    <t>LV0104</t>
  </si>
  <si>
    <t>LV0105</t>
  </si>
  <si>
    <t>LV0106</t>
  </si>
  <si>
    <t>LV0107</t>
  </si>
  <si>
    <t>LV0108</t>
  </si>
  <si>
    <t>LV0109</t>
  </si>
  <si>
    <t>LV0110</t>
  </si>
  <si>
    <t>LV0111</t>
  </si>
  <si>
    <t>LV0112</t>
  </si>
  <si>
    <t>LV0113</t>
  </si>
  <si>
    <t>LV0114</t>
  </si>
  <si>
    <t>LV0115</t>
  </si>
  <si>
    <t>LV0116</t>
  </si>
  <si>
    <t>LV0117</t>
  </si>
  <si>
    <t>LV0118</t>
  </si>
  <si>
    <t>LV0119</t>
  </si>
  <si>
    <t>LV0120</t>
  </si>
  <si>
    <t>LV0121</t>
  </si>
  <si>
    <t>LV0122</t>
  </si>
  <si>
    <t>LV0123</t>
  </si>
  <si>
    <t>LV0124</t>
  </si>
  <si>
    <t>LV0125</t>
  </si>
  <si>
    <t>LV0126</t>
  </si>
  <si>
    <t>LV0127</t>
  </si>
  <si>
    <t>LV0128</t>
  </si>
  <si>
    <t>LV0129</t>
  </si>
  <si>
    <t>LV0130</t>
  </si>
  <si>
    <t>LV0131</t>
  </si>
  <si>
    <t>LV0132</t>
  </si>
  <si>
    <t>LV0133</t>
  </si>
  <si>
    <t>LV0134</t>
  </si>
  <si>
    <t>LV0135</t>
  </si>
  <si>
    <t>LV0136</t>
  </si>
  <si>
    <t>LV0137</t>
  </si>
  <si>
    <t>LV0138</t>
  </si>
  <si>
    <t>LV0139</t>
  </si>
  <si>
    <t>LV0140</t>
  </si>
  <si>
    <t>LV0141</t>
  </si>
  <si>
    <t>LV0142</t>
  </si>
  <si>
    <t>LV0143</t>
  </si>
  <si>
    <t>LV0144</t>
  </si>
  <si>
    <t>LV0145</t>
  </si>
  <si>
    <t>LV0146</t>
  </si>
  <si>
    <t>LV0147</t>
  </si>
  <si>
    <t>LV0148</t>
  </si>
  <si>
    <t>LV0149</t>
  </si>
  <si>
    <t>LV0150</t>
  </si>
  <si>
    <t>LV0151</t>
  </si>
  <si>
    <t>LV0152</t>
  </si>
  <si>
    <t>LV0153</t>
  </si>
  <si>
    <t>LV0154</t>
  </si>
  <si>
    <t>LV0155</t>
  </si>
  <si>
    <t>LV0156</t>
  </si>
  <si>
    <t>LV0157</t>
  </si>
  <si>
    <t>LV0158</t>
  </si>
  <si>
    <t>LV0159</t>
  </si>
  <si>
    <t>LV0160</t>
  </si>
  <si>
    <t>LV0161</t>
  </si>
  <si>
    <t>LV0162</t>
  </si>
  <si>
    <t>LV0163</t>
  </si>
  <si>
    <t>LV0164</t>
  </si>
  <si>
    <t>LV0165</t>
  </si>
  <si>
    <t>LV0166</t>
  </si>
  <si>
    <t>LV0167</t>
  </si>
  <si>
    <t>LV0168</t>
  </si>
  <si>
    <t>LV0169</t>
  </si>
  <si>
    <t>LV0170</t>
  </si>
  <si>
    <t>LV0171</t>
  </si>
  <si>
    <t>LV0172</t>
  </si>
  <si>
    <t>LV0173</t>
  </si>
  <si>
    <t>LV0174</t>
  </si>
  <si>
    <t>LV0175</t>
  </si>
  <si>
    <t>LV0176</t>
  </si>
  <si>
    <t>LV0177</t>
  </si>
  <si>
    <t>LV0178</t>
  </si>
  <si>
    <t>LV0179</t>
  </si>
  <si>
    <t>LV0180</t>
  </si>
  <si>
    <t>LV0181</t>
  </si>
  <si>
    <t>LV0182</t>
  </si>
  <si>
    <t>LV0183</t>
  </si>
  <si>
    <t>LV0184</t>
  </si>
  <si>
    <t>LV0185</t>
  </si>
  <si>
    <t>LV0186</t>
  </si>
  <si>
    <t>LV0187</t>
  </si>
  <si>
    <t>LV0188</t>
  </si>
  <si>
    <t>LV0189</t>
  </si>
  <si>
    <t>LV0190</t>
  </si>
  <si>
    <t>LV0191</t>
  </si>
  <si>
    <t>LV0192</t>
  </si>
  <si>
    <t>LV0193</t>
  </si>
  <si>
    <t>LV0194</t>
  </si>
  <si>
    <t>LV0195</t>
  </si>
  <si>
    <t>LV0196</t>
  </si>
  <si>
    <t>LV0197</t>
  </si>
  <si>
    <t>LV0198</t>
  </si>
  <si>
    <t>LV0199</t>
  </si>
  <si>
    <t>LV0200</t>
  </si>
  <si>
    <t>LV0201</t>
  </si>
  <si>
    <t>LV0202</t>
  </si>
  <si>
    <t>LV0203</t>
  </si>
  <si>
    <t>LV0204</t>
  </si>
  <si>
    <t>LV0205</t>
  </si>
  <si>
    <t>LV0206</t>
  </si>
  <si>
    <t>LV0207</t>
  </si>
  <si>
    <t>LV0208</t>
  </si>
  <si>
    <t>LV0209</t>
  </si>
  <si>
    <t>LV0210</t>
  </si>
  <si>
    <t>LV0211</t>
  </si>
  <si>
    <t>LV0212</t>
  </si>
  <si>
    <t>LV0213</t>
  </si>
  <si>
    <t>LV0214</t>
  </si>
  <si>
    <t>LV0215</t>
  </si>
  <si>
    <t>LV0216</t>
  </si>
  <si>
    <t>LV0217</t>
  </si>
  <si>
    <t>LV0218</t>
  </si>
  <si>
    <t>LV0219</t>
  </si>
  <si>
    <t>LV0220</t>
  </si>
  <si>
    <t>LV0221</t>
  </si>
  <si>
    <t>LV0222</t>
  </si>
  <si>
    <t>LV0223</t>
  </si>
  <si>
    <t>LV0224</t>
  </si>
  <si>
    <t>LV0225</t>
  </si>
  <si>
    <t>LV0226</t>
  </si>
  <si>
    <t>LV0227</t>
  </si>
  <si>
    <t>LV0228</t>
  </si>
  <si>
    <t>LV0229</t>
  </si>
  <si>
    <t>LV0230</t>
  </si>
  <si>
    <t>LV0231</t>
  </si>
  <si>
    <t>LV0232</t>
  </si>
  <si>
    <t>LV0233</t>
  </si>
  <si>
    <t>LV0234</t>
  </si>
  <si>
    <t>LV0235</t>
  </si>
  <si>
    <t>LV0236</t>
  </si>
  <si>
    <t>LV0237</t>
  </si>
  <si>
    <t>LV0238</t>
  </si>
  <si>
    <t>LV0239</t>
  </si>
  <si>
    <t>LV0240</t>
  </si>
  <si>
    <t>LV0241</t>
  </si>
  <si>
    <t>LV0242</t>
  </si>
  <si>
    <t>LV0243</t>
  </si>
  <si>
    <t>LV0244</t>
  </si>
  <si>
    <t>LV0245</t>
  </si>
  <si>
    <t>LV0246</t>
  </si>
  <si>
    <t>LV0247</t>
  </si>
  <si>
    <t>LV0248</t>
  </si>
  <si>
    <t>LV0249</t>
  </si>
  <si>
    <t>LV0250</t>
  </si>
  <si>
    <t>LV0251</t>
  </si>
  <si>
    <t>LV0252</t>
  </si>
  <si>
    <t>LV0253</t>
  </si>
  <si>
    <t>LV0254</t>
  </si>
  <si>
    <t>LV0255</t>
  </si>
  <si>
    <t>LV0256</t>
  </si>
  <si>
    <t>LV0257</t>
  </si>
  <si>
    <t>LV0258</t>
  </si>
  <si>
    <t>LV0259</t>
  </si>
  <si>
    <t>LV0260</t>
  </si>
  <si>
    <t>LV0261</t>
  </si>
  <si>
    <t>LV0262</t>
  </si>
  <si>
    <t>LV0263</t>
  </si>
  <si>
    <t>LV0264</t>
  </si>
  <si>
    <t>LV0265</t>
  </si>
  <si>
    <t>LV0266</t>
  </si>
  <si>
    <t>LV0267</t>
  </si>
  <si>
    <t>LV0268</t>
  </si>
  <si>
    <t>LV0269</t>
  </si>
  <si>
    <t>LV0270</t>
  </si>
  <si>
    <t>LV0271</t>
  </si>
  <si>
    <t>LV0272</t>
  </si>
  <si>
    <t>LV0273</t>
  </si>
  <si>
    <t>LV0274</t>
  </si>
  <si>
    <t>LV0275</t>
  </si>
  <si>
    <t>LV0276</t>
  </si>
  <si>
    <t>LV0277</t>
  </si>
  <si>
    <t>LV0278</t>
  </si>
  <si>
    <t>LV0279</t>
  </si>
  <si>
    <t>LV0280</t>
  </si>
  <si>
    <t>LV0281</t>
  </si>
  <si>
    <t>LV0282</t>
  </si>
  <si>
    <t>LV0283</t>
  </si>
  <si>
    <t>LV0284</t>
  </si>
  <si>
    <t>LV0285</t>
  </si>
  <si>
    <t>LV0286</t>
  </si>
  <si>
    <t>LV0287</t>
  </si>
  <si>
    <t>LV0288</t>
  </si>
  <si>
    <t>LV0289</t>
  </si>
  <si>
    <t>LV0290</t>
  </si>
  <si>
    <t>LV0291</t>
  </si>
  <si>
    <t>LV0292</t>
  </si>
  <si>
    <t>LV0293</t>
  </si>
  <si>
    <t>LV0294</t>
  </si>
  <si>
    <t>LV0295</t>
  </si>
  <si>
    <t>LV0296</t>
  </si>
  <si>
    <t>LV0297</t>
  </si>
  <si>
    <t>LV0298</t>
  </si>
  <si>
    <t>LV0299</t>
  </si>
  <si>
    <t>LV0300</t>
  </si>
  <si>
    <t>LV0301</t>
  </si>
  <si>
    <t>LV0302</t>
  </si>
  <si>
    <t>LV0303</t>
  </si>
  <si>
    <t>LV0304</t>
  </si>
  <si>
    <t>LV0305</t>
  </si>
  <si>
    <t>LV0306</t>
  </si>
  <si>
    <t>LV0307</t>
  </si>
  <si>
    <t>LV0308</t>
  </si>
  <si>
    <t>LV0309</t>
  </si>
  <si>
    <t>LV0310</t>
  </si>
  <si>
    <t>LV0311</t>
  </si>
  <si>
    <t>LV0312</t>
  </si>
  <si>
    <t>LV0313</t>
  </si>
  <si>
    <t>LV0314</t>
  </si>
  <si>
    <t>LV0315</t>
  </si>
  <si>
    <t>LV0316</t>
  </si>
  <si>
    <t>LV0317</t>
  </si>
  <si>
    <t>LV0318</t>
  </si>
  <si>
    <t>LV0319</t>
  </si>
  <si>
    <t>LV0320</t>
  </si>
  <si>
    <t>LV0321</t>
  </si>
  <si>
    <t>LV0322</t>
  </si>
  <si>
    <t>LV0323</t>
  </si>
  <si>
    <t>LV0324</t>
  </si>
  <si>
    <t>LV0325</t>
  </si>
  <si>
    <t>LV0326</t>
  </si>
  <si>
    <t>LV0327</t>
  </si>
  <si>
    <t>LV0328</t>
  </si>
  <si>
    <t>LV0329</t>
  </si>
  <si>
    <t>LV0330</t>
  </si>
  <si>
    <t>LV0331</t>
  </si>
  <si>
    <t>LV0332</t>
  </si>
  <si>
    <t>LV0333</t>
  </si>
  <si>
    <t>LV0334</t>
  </si>
  <si>
    <t>LV0335</t>
  </si>
  <si>
    <t>LV0336</t>
  </si>
  <si>
    <t>LV0337</t>
  </si>
  <si>
    <t>LV0338</t>
  </si>
  <si>
    <t>LV0339</t>
  </si>
  <si>
    <t>LV0340</t>
  </si>
  <si>
    <t>LV0341</t>
  </si>
  <si>
    <t>LV0342</t>
  </si>
  <si>
    <t>LV0343</t>
  </si>
  <si>
    <t>LV0344</t>
  </si>
  <si>
    <t>LV0345</t>
  </si>
  <si>
    <t>LV0346</t>
  </si>
  <si>
    <t>LV0347</t>
  </si>
  <si>
    <t>LV0348</t>
  </si>
  <si>
    <t>LV0349</t>
  </si>
  <si>
    <t>LV0350</t>
  </si>
  <si>
    <t>LV0351</t>
  </si>
  <si>
    <t>LV0352</t>
  </si>
  <si>
    <t>LV0353</t>
  </si>
  <si>
    <t>LV0354</t>
  </si>
  <si>
    <t>LV0355</t>
  </si>
  <si>
    <t>LV0356</t>
  </si>
  <si>
    <t>LV0357</t>
  </si>
  <si>
    <t>LV0358</t>
  </si>
  <si>
    <t>LV0359</t>
  </si>
  <si>
    <t>LV0360</t>
  </si>
  <si>
    <t>LV0361</t>
  </si>
  <si>
    <t>LV0362</t>
  </si>
  <si>
    <t>LV0363</t>
  </si>
  <si>
    <t>LV0364</t>
  </si>
  <si>
    <t>LV0365</t>
  </si>
  <si>
    <t>LV0366</t>
  </si>
  <si>
    <t>LV0367</t>
  </si>
  <si>
    <t>LV0368</t>
  </si>
  <si>
    <t>LV0369</t>
  </si>
  <si>
    <t>LV0370</t>
  </si>
  <si>
    <t>LV0371</t>
  </si>
  <si>
    <t>LV0372</t>
  </si>
  <si>
    <t>LV0373</t>
  </si>
  <si>
    <t>LV0374</t>
  </si>
  <si>
    <t>LV0375</t>
  </si>
  <si>
    <t>LV0376</t>
  </si>
  <si>
    <t>LV0377</t>
  </si>
  <si>
    <t>LV0378</t>
  </si>
  <si>
    <t>LV0379</t>
  </si>
  <si>
    <t>LV0380</t>
  </si>
  <si>
    <t>LV0381</t>
  </si>
  <si>
    <t>LV0382</t>
  </si>
  <si>
    <t>LV0383</t>
  </si>
  <si>
    <t>LV0384</t>
  </si>
  <si>
    <t>LV0385</t>
  </si>
  <si>
    <t>LV0386</t>
  </si>
  <si>
    <t>LV0387</t>
  </si>
  <si>
    <t>LV0388</t>
  </si>
  <si>
    <t>LV0389</t>
  </si>
  <si>
    <t>LV0390</t>
  </si>
  <si>
    <t>LV0391</t>
  </si>
  <si>
    <t>LV0392</t>
  </si>
  <si>
    <t>LV0393</t>
  </si>
  <si>
    <t>LV0394</t>
  </si>
  <si>
    <t>LV0395</t>
  </si>
  <si>
    <t>LV0396</t>
  </si>
  <si>
    <t>LV0397</t>
  </si>
  <si>
    <t>LV0398</t>
  </si>
  <si>
    <t>LV0399</t>
  </si>
  <si>
    <t>LV0400</t>
  </si>
  <si>
    <t>LV0401</t>
  </si>
  <si>
    <t>LV0402</t>
  </si>
  <si>
    <t>LV0403</t>
  </si>
  <si>
    <t>LV0404</t>
  </si>
  <si>
    <t>LV0405</t>
  </si>
  <si>
    <t>LV0406</t>
  </si>
  <si>
    <t>LV0407</t>
  </si>
  <si>
    <t>LV0408</t>
  </si>
  <si>
    <t>LV0409</t>
  </si>
  <si>
    <t>LV0410</t>
  </si>
  <si>
    <t>LV0411</t>
  </si>
  <si>
    <t>LV0412</t>
  </si>
  <si>
    <t>LV0413</t>
  </si>
  <si>
    <t>LV0414</t>
  </si>
  <si>
    <t>LV0415</t>
  </si>
  <si>
    <t>LV0416</t>
  </si>
  <si>
    <t>LV0417</t>
  </si>
  <si>
    <t>LV0418</t>
  </si>
  <si>
    <t>LV0419</t>
  </si>
  <si>
    <t>LV0420</t>
  </si>
  <si>
    <t>LV0421</t>
  </si>
  <si>
    <t>LV0422</t>
  </si>
  <si>
    <t>LV0423</t>
  </si>
  <si>
    <t>LV0424</t>
  </si>
  <si>
    <t>LV0425</t>
  </si>
  <si>
    <t>LV0426</t>
  </si>
  <si>
    <t>LV0427</t>
  </si>
  <si>
    <t>LV0428</t>
  </si>
  <si>
    <t>LV0429</t>
  </si>
  <si>
    <t>LV0430</t>
  </si>
  <si>
    <t>LV0431</t>
  </si>
  <si>
    <t>LV0432</t>
  </si>
  <si>
    <t>LV0433</t>
  </si>
  <si>
    <t>LV0434</t>
  </si>
  <si>
    <t>LV0435</t>
  </si>
  <si>
    <t>LV0436</t>
  </si>
  <si>
    <t>LV0437</t>
  </si>
  <si>
    <t>LV0438</t>
  </si>
  <si>
    <t>LV0439</t>
  </si>
  <si>
    <t>LV0440</t>
  </si>
  <si>
    <t>LV0441</t>
  </si>
  <si>
    <t>LV0442</t>
  </si>
  <si>
    <t>LV0443</t>
  </si>
  <si>
    <t>LV0444</t>
  </si>
  <si>
    <t>LV0445</t>
  </si>
  <si>
    <t>LV0446</t>
  </si>
  <si>
    <t>LV0447</t>
  </si>
  <si>
    <t>LV0448</t>
  </si>
  <si>
    <t>LV0449</t>
  </si>
  <si>
    <t>LV0450</t>
  </si>
  <si>
    <t>LV0451</t>
  </si>
  <si>
    <t>LV0452</t>
  </si>
  <si>
    <t>LV0453</t>
  </si>
  <si>
    <t>LV0454</t>
  </si>
  <si>
    <t>LV0455</t>
  </si>
  <si>
    <t>LV0456</t>
  </si>
  <si>
    <t>LV0457</t>
  </si>
  <si>
    <t>LV0458</t>
  </si>
  <si>
    <t>LV0459</t>
  </si>
  <si>
    <t>LV0460</t>
  </si>
  <si>
    <t>LV0461</t>
  </si>
  <si>
    <t>LV0462</t>
  </si>
  <si>
    <t>LV0463</t>
  </si>
  <si>
    <t>LV0464</t>
  </si>
  <si>
    <t>LV0465</t>
  </si>
  <si>
    <t>LV0466</t>
  </si>
  <si>
    <t>LV0467</t>
  </si>
  <si>
    <t>LV0468</t>
  </si>
  <si>
    <t>LV0469</t>
  </si>
  <si>
    <t>LV0470</t>
  </si>
  <si>
    <t>LV0471</t>
  </si>
  <si>
    <t>LV0472</t>
  </si>
  <si>
    <t>LV0473</t>
  </si>
  <si>
    <t>LV0474</t>
  </si>
  <si>
    <t>LV0475</t>
  </si>
  <si>
    <t>LV0476</t>
  </si>
  <si>
    <t>LV0477</t>
  </si>
  <si>
    <t>LV0478</t>
  </si>
  <si>
    <t>LV0479</t>
  </si>
  <si>
    <t>LV0480</t>
  </si>
  <si>
    <t>LV0481</t>
  </si>
  <si>
    <t>LV0482</t>
  </si>
  <si>
    <t>LV0483</t>
  </si>
  <si>
    <t>LV0484</t>
  </si>
  <si>
    <t>LV0485</t>
  </si>
  <si>
    <t>LV0486</t>
  </si>
  <si>
    <t>LV0487</t>
  </si>
  <si>
    <t>LV0488</t>
  </si>
  <si>
    <t>LV0489</t>
  </si>
  <si>
    <t>LV0490</t>
  </si>
  <si>
    <t>LV0491</t>
  </si>
  <si>
    <t>LV0492</t>
  </si>
  <si>
    <t>LV0493</t>
  </si>
  <si>
    <t>LV0494</t>
  </si>
  <si>
    <t>LV0495</t>
  </si>
  <si>
    <t>LV0496</t>
  </si>
  <si>
    <t>LV0497</t>
  </si>
  <si>
    <t>LV0498</t>
  </si>
  <si>
    <t>LV0499</t>
  </si>
  <si>
    <t>LV0500</t>
  </si>
  <si>
    <t>Asset_ID</t>
  </si>
  <si>
    <t>Asset_Name</t>
  </si>
  <si>
    <t>Serial_Number</t>
  </si>
  <si>
    <t>Issue_Date</t>
  </si>
  <si>
    <t>Return_Date</t>
  </si>
  <si>
    <t>AST0001</t>
  </si>
  <si>
    <t>Desktop</t>
  </si>
  <si>
    <t>SN202600001</t>
  </si>
  <si>
    <t>Assigned</t>
  </si>
  <si>
    <t>AST0002</t>
  </si>
  <si>
    <t>Monitor</t>
  </si>
  <si>
    <t>SN202600002</t>
  </si>
  <si>
    <t>AST0003</t>
  </si>
  <si>
    <t>Keyboard</t>
  </si>
  <si>
    <t>SN202600003</t>
  </si>
  <si>
    <t>Returned</t>
  </si>
  <si>
    <t>AST0004</t>
  </si>
  <si>
    <t>Mouse</t>
  </si>
  <si>
    <t>SN202600004</t>
  </si>
  <si>
    <t>Damaged</t>
  </si>
  <si>
    <t>AST0005</t>
  </si>
  <si>
    <t>Headset</t>
  </si>
  <si>
    <t>SN202600005</t>
  </si>
  <si>
    <t>AST0006</t>
  </si>
  <si>
    <t>ID Card</t>
  </si>
  <si>
    <t>SN202600006</t>
  </si>
  <si>
    <t>AST0007</t>
  </si>
  <si>
    <t>Office Phone</t>
  </si>
  <si>
    <t>SN202600007</t>
  </si>
  <si>
    <t>AST0008</t>
  </si>
  <si>
    <t>Laptop</t>
  </si>
  <si>
    <t>SN202600008</t>
  </si>
  <si>
    <t>AST0009</t>
  </si>
  <si>
    <t>SN202600009</t>
  </si>
  <si>
    <t>AST0010</t>
  </si>
  <si>
    <t>SN202600010</t>
  </si>
  <si>
    <t>AST0011</t>
  </si>
  <si>
    <t>SN202600011</t>
  </si>
  <si>
    <t>AST0012</t>
  </si>
  <si>
    <t>SN202600012</t>
  </si>
  <si>
    <t>AST0013</t>
  </si>
  <si>
    <t>SN202600013</t>
  </si>
  <si>
    <t>AST0014</t>
  </si>
  <si>
    <t>SN202600014</t>
  </si>
  <si>
    <t>AST0015</t>
  </si>
  <si>
    <t>SN202600015</t>
  </si>
  <si>
    <t>AST0016</t>
  </si>
  <si>
    <t>SN202600016</t>
  </si>
  <si>
    <t>AST0017</t>
  </si>
  <si>
    <t>SN202600017</t>
  </si>
  <si>
    <t>AST0018</t>
  </si>
  <si>
    <t>SN202600018</t>
  </si>
  <si>
    <t>AST0019</t>
  </si>
  <si>
    <t>SN202600019</t>
  </si>
  <si>
    <t>AST0020</t>
  </si>
  <si>
    <t>SN202600020</t>
  </si>
  <si>
    <t>AST0021</t>
  </si>
  <si>
    <t>SN202600021</t>
  </si>
  <si>
    <t>AST0022</t>
  </si>
  <si>
    <t>SN202600022</t>
  </si>
  <si>
    <t>AST0023</t>
  </si>
  <si>
    <t>SN202600023</t>
  </si>
  <si>
    <t>AST0024</t>
  </si>
  <si>
    <t>SN202600024</t>
  </si>
  <si>
    <t>AST0025</t>
  </si>
  <si>
    <t>SN202600025</t>
  </si>
  <si>
    <t>AST0026</t>
  </si>
  <si>
    <t>SN202600026</t>
  </si>
  <si>
    <t>AST0027</t>
  </si>
  <si>
    <t>SN202600027</t>
  </si>
  <si>
    <t>AST0028</t>
  </si>
  <si>
    <t>SN202600028</t>
  </si>
  <si>
    <t>AST0029</t>
  </si>
  <si>
    <t>SN202600029</t>
  </si>
  <si>
    <t>AST0030</t>
  </si>
  <si>
    <t>SN202600030</t>
  </si>
  <si>
    <t>AST0031</t>
  </si>
  <si>
    <t>SN202600031</t>
  </si>
  <si>
    <t>AST0032</t>
  </si>
  <si>
    <t>SN202600032</t>
  </si>
  <si>
    <t>AST0033</t>
  </si>
  <si>
    <t>SN202600033</t>
  </si>
  <si>
    <t>AST0034</t>
  </si>
  <si>
    <t>SN202600034</t>
  </si>
  <si>
    <t>AST0035</t>
  </si>
  <si>
    <t>SN202600035</t>
  </si>
  <si>
    <t>AST0036</t>
  </si>
  <si>
    <t>SN202600036</t>
  </si>
  <si>
    <t>AST0037</t>
  </si>
  <si>
    <t>SN202600037</t>
  </si>
  <si>
    <t>AST0038</t>
  </si>
  <si>
    <t>SN202600038</t>
  </si>
  <si>
    <t>AST0039</t>
  </si>
  <si>
    <t>SN202600039</t>
  </si>
  <si>
    <t>AST0040</t>
  </si>
  <si>
    <t>SN202600040</t>
  </si>
  <si>
    <t>AST0041</t>
  </si>
  <si>
    <t>SN202600041</t>
  </si>
  <si>
    <t>AST0042</t>
  </si>
  <si>
    <t>SN202600042</t>
  </si>
  <si>
    <t>AST0043</t>
  </si>
  <si>
    <t>SN202600043</t>
  </si>
  <si>
    <t>AST0044</t>
  </si>
  <si>
    <t>SN202600044</t>
  </si>
  <si>
    <t>AST0045</t>
  </si>
  <si>
    <t>SN202600045</t>
  </si>
  <si>
    <t>AST0046</t>
  </si>
  <si>
    <t>SN202600046</t>
  </si>
  <si>
    <t>AST0047</t>
  </si>
  <si>
    <t>SN202600047</t>
  </si>
  <si>
    <t>AST0048</t>
  </si>
  <si>
    <t>SN202600048</t>
  </si>
  <si>
    <t>AST0049</t>
  </si>
  <si>
    <t>SN202600049</t>
  </si>
  <si>
    <t>AST0050</t>
  </si>
  <si>
    <t>SN202600050</t>
  </si>
  <si>
    <t>AST0051</t>
  </si>
  <si>
    <t>SN202600051</t>
  </si>
  <si>
    <t>AST0052</t>
  </si>
  <si>
    <t>SN202600052</t>
  </si>
  <si>
    <t>AST0053</t>
  </si>
  <si>
    <t>SN202600053</t>
  </si>
  <si>
    <t>AST0054</t>
  </si>
  <si>
    <t>SN202600054</t>
  </si>
  <si>
    <t>AST0055</t>
  </si>
  <si>
    <t>SN202600055</t>
  </si>
  <si>
    <t>AST0056</t>
  </si>
  <si>
    <t>SN202600056</t>
  </si>
  <si>
    <t>AST0057</t>
  </si>
  <si>
    <t>SN202600057</t>
  </si>
  <si>
    <t>AST0058</t>
  </si>
  <si>
    <t>SN202600058</t>
  </si>
  <si>
    <t>AST0059</t>
  </si>
  <si>
    <t>SN202600059</t>
  </si>
  <si>
    <t>AST0060</t>
  </si>
  <si>
    <t>SN202600060</t>
  </si>
  <si>
    <t>AST0061</t>
  </si>
  <si>
    <t>SN202600061</t>
  </si>
  <si>
    <t>AST0062</t>
  </si>
  <si>
    <t>SN202600062</t>
  </si>
  <si>
    <t>AST0063</t>
  </si>
  <si>
    <t>SN202600063</t>
  </si>
  <si>
    <t>AST0064</t>
  </si>
  <si>
    <t>SN202600064</t>
  </si>
  <si>
    <t>AST0065</t>
  </si>
  <si>
    <t>SN202600065</t>
  </si>
  <si>
    <t>AST0066</t>
  </si>
  <si>
    <t>SN202600066</t>
  </si>
  <si>
    <t>AST0067</t>
  </si>
  <si>
    <t>SN202600067</t>
  </si>
  <si>
    <t>AST0068</t>
  </si>
  <si>
    <t>SN202600068</t>
  </si>
  <si>
    <t>AST0069</t>
  </si>
  <si>
    <t>SN202600069</t>
  </si>
  <si>
    <t>AST0070</t>
  </si>
  <si>
    <t>SN202600070</t>
  </si>
  <si>
    <t>AST0071</t>
  </si>
  <si>
    <t>SN202600071</t>
  </si>
  <si>
    <t>AST0072</t>
  </si>
  <si>
    <t>SN202600072</t>
  </si>
  <si>
    <t>AST0073</t>
  </si>
  <si>
    <t>SN202600073</t>
  </si>
  <si>
    <t>AST0074</t>
  </si>
  <si>
    <t>SN202600074</t>
  </si>
  <si>
    <t>AST0075</t>
  </si>
  <si>
    <t>SN202600075</t>
  </si>
  <si>
    <t>AST0076</t>
  </si>
  <si>
    <t>SN202600076</t>
  </si>
  <si>
    <t>AST0077</t>
  </si>
  <si>
    <t>SN202600077</t>
  </si>
  <si>
    <t>AST0078</t>
  </si>
  <si>
    <t>SN202600078</t>
  </si>
  <si>
    <t>AST0079</t>
  </si>
  <si>
    <t>SN202600079</t>
  </si>
  <si>
    <t>AST0080</t>
  </si>
  <si>
    <t>SN202600080</t>
  </si>
  <si>
    <t>AST0081</t>
  </si>
  <si>
    <t>SN202600081</t>
  </si>
  <si>
    <t>AST0082</t>
  </si>
  <si>
    <t>SN202600082</t>
  </si>
  <si>
    <t>AST0083</t>
  </si>
  <si>
    <t>SN202600083</t>
  </si>
  <si>
    <t>AST0084</t>
  </si>
  <si>
    <t>SN202600084</t>
  </si>
  <si>
    <t>AST0085</t>
  </si>
  <si>
    <t>SN202600085</t>
  </si>
  <si>
    <t>AST0086</t>
  </si>
  <si>
    <t>SN202600086</t>
  </si>
  <si>
    <t>AST0087</t>
  </si>
  <si>
    <t>SN202600087</t>
  </si>
  <si>
    <t>AST0088</t>
  </si>
  <si>
    <t>SN202600088</t>
  </si>
  <si>
    <t>AST0089</t>
  </si>
  <si>
    <t>SN202600089</t>
  </si>
  <si>
    <t>AST0090</t>
  </si>
  <si>
    <t>SN202600090</t>
  </si>
  <si>
    <t>AST0091</t>
  </si>
  <si>
    <t>SN202600091</t>
  </si>
  <si>
    <t>AST0092</t>
  </si>
  <si>
    <t>SN202600092</t>
  </si>
  <si>
    <t>AST0093</t>
  </si>
  <si>
    <t>SN202600093</t>
  </si>
  <si>
    <t>AST0094</t>
  </si>
  <si>
    <t>SN202600094</t>
  </si>
  <si>
    <t>AST0095</t>
  </si>
  <si>
    <t>SN202600095</t>
  </si>
  <si>
    <t>AST0096</t>
  </si>
  <si>
    <t>SN202600096</t>
  </si>
  <si>
    <t>AST0097</t>
  </si>
  <si>
    <t>SN202600097</t>
  </si>
  <si>
    <t>AST0098</t>
  </si>
  <si>
    <t>SN202600098</t>
  </si>
  <si>
    <t>AST0099</t>
  </si>
  <si>
    <t>SN202600099</t>
  </si>
  <si>
    <t>AST0100</t>
  </si>
  <si>
    <t>SN202600100</t>
  </si>
  <si>
    <t>AST0101</t>
  </si>
  <si>
    <t>SN202600101</t>
  </si>
  <si>
    <t>AST0102</t>
  </si>
  <si>
    <t>SN202600102</t>
  </si>
  <si>
    <t>AST0103</t>
  </si>
  <si>
    <t>SN202600103</t>
  </si>
  <si>
    <t>AST0104</t>
  </si>
  <si>
    <t>SN202600104</t>
  </si>
  <si>
    <t>AST0105</t>
  </si>
  <si>
    <t>SN202600105</t>
  </si>
  <si>
    <t>AST0106</t>
  </si>
  <si>
    <t>SN202600106</t>
  </si>
  <si>
    <t>AST0107</t>
  </si>
  <si>
    <t>SN202600107</t>
  </si>
  <si>
    <t>AST0108</t>
  </si>
  <si>
    <t>SN202600108</t>
  </si>
  <si>
    <t>AST0109</t>
  </si>
  <si>
    <t>SN202600109</t>
  </si>
  <si>
    <t>AST0110</t>
  </si>
  <si>
    <t>SN202600110</t>
  </si>
  <si>
    <t>AST0111</t>
  </si>
  <si>
    <t>SN202600111</t>
  </si>
  <si>
    <t>AST0112</t>
  </si>
  <si>
    <t>SN202600112</t>
  </si>
  <si>
    <t>AST0113</t>
  </si>
  <si>
    <t>SN202600113</t>
  </si>
  <si>
    <t>AST0114</t>
  </si>
  <si>
    <t>SN202600114</t>
  </si>
  <si>
    <t>AST0115</t>
  </si>
  <si>
    <t>SN202600115</t>
  </si>
  <si>
    <t>AST0116</t>
  </si>
  <si>
    <t>SN202600116</t>
  </si>
  <si>
    <t>AST0117</t>
  </si>
  <si>
    <t>SN202600117</t>
  </si>
  <si>
    <t>AST0118</t>
  </si>
  <si>
    <t>SN202600118</t>
  </si>
  <si>
    <t>AST0119</t>
  </si>
  <si>
    <t>SN202600119</t>
  </si>
  <si>
    <t>AST0120</t>
  </si>
  <si>
    <t>SN202600120</t>
  </si>
  <si>
    <t>AST0121</t>
  </si>
  <si>
    <t>SN202600121</t>
  </si>
  <si>
    <t>AST0122</t>
  </si>
  <si>
    <t>SN202600122</t>
  </si>
  <si>
    <t>AST0123</t>
  </si>
  <si>
    <t>SN202600123</t>
  </si>
  <si>
    <t>AST0124</t>
  </si>
  <si>
    <t>SN202600124</t>
  </si>
  <si>
    <t>AST0125</t>
  </si>
  <si>
    <t>SN202600125</t>
  </si>
  <si>
    <t>AST0126</t>
  </si>
  <si>
    <t>SN202600126</t>
  </si>
  <si>
    <t>AST0127</t>
  </si>
  <si>
    <t>SN202600127</t>
  </si>
  <si>
    <t>AST0128</t>
  </si>
  <si>
    <t>SN202600128</t>
  </si>
  <si>
    <t>AST0129</t>
  </si>
  <si>
    <t>SN202600129</t>
  </si>
  <si>
    <t>AST0130</t>
  </si>
  <si>
    <t>SN202600130</t>
  </si>
  <si>
    <t>AST0131</t>
  </si>
  <si>
    <t>SN202600131</t>
  </si>
  <si>
    <t>AST0132</t>
  </si>
  <si>
    <t>SN202600132</t>
  </si>
  <si>
    <t>AST0133</t>
  </si>
  <si>
    <t>SN202600133</t>
  </si>
  <si>
    <t>AST0134</t>
  </si>
  <si>
    <t>SN202600134</t>
  </si>
  <si>
    <t>AST0135</t>
  </si>
  <si>
    <t>SN202600135</t>
  </si>
  <si>
    <t>AST0136</t>
  </si>
  <si>
    <t>SN202600136</t>
  </si>
  <si>
    <t>AST0137</t>
  </si>
  <si>
    <t>SN202600137</t>
  </si>
  <si>
    <t>AST0138</t>
  </si>
  <si>
    <t>SN202600138</t>
  </si>
  <si>
    <t>AST0139</t>
  </si>
  <si>
    <t>SN202600139</t>
  </si>
  <si>
    <t>AST0140</t>
  </si>
  <si>
    <t>SN202600140</t>
  </si>
  <si>
    <t>AST0141</t>
  </si>
  <si>
    <t>SN202600141</t>
  </si>
  <si>
    <t>AST0142</t>
  </si>
  <si>
    <t>SN202600142</t>
  </si>
  <si>
    <t>AST0143</t>
  </si>
  <si>
    <t>SN202600143</t>
  </si>
  <si>
    <t>AST0144</t>
  </si>
  <si>
    <t>SN202600144</t>
  </si>
  <si>
    <t>AST0145</t>
  </si>
  <si>
    <t>SN202600145</t>
  </si>
  <si>
    <t>AST0146</t>
  </si>
  <si>
    <t>SN202600146</t>
  </si>
  <si>
    <t>AST0147</t>
  </si>
  <si>
    <t>SN202600147</t>
  </si>
  <si>
    <t>AST0148</t>
  </si>
  <si>
    <t>SN202600148</t>
  </si>
  <si>
    <t>AST0149</t>
  </si>
  <si>
    <t>SN202600149</t>
  </si>
  <si>
    <t>AST0150</t>
  </si>
  <si>
    <t>SN202600150</t>
  </si>
  <si>
    <t>AST0151</t>
  </si>
  <si>
    <t>SN202600151</t>
  </si>
  <si>
    <t>AST0152</t>
  </si>
  <si>
    <t>SN202600152</t>
  </si>
  <si>
    <t>AST0153</t>
  </si>
  <si>
    <t>SN202600153</t>
  </si>
  <si>
    <t>AST0154</t>
  </si>
  <si>
    <t>SN202600154</t>
  </si>
  <si>
    <t>AST0155</t>
  </si>
  <si>
    <t>SN202600155</t>
  </si>
  <si>
    <t>AST0156</t>
  </si>
  <si>
    <t>SN202600156</t>
  </si>
  <si>
    <t>AST0157</t>
  </si>
  <si>
    <t>SN202600157</t>
  </si>
  <si>
    <t>AST0158</t>
  </si>
  <si>
    <t>SN202600158</t>
  </si>
  <si>
    <t>AST0159</t>
  </si>
  <si>
    <t>SN202600159</t>
  </si>
  <si>
    <t>AST0160</t>
  </si>
  <si>
    <t>SN202600160</t>
  </si>
  <si>
    <t>AST0161</t>
  </si>
  <si>
    <t>SN202600161</t>
  </si>
  <si>
    <t>AST0162</t>
  </si>
  <si>
    <t>SN202600162</t>
  </si>
  <si>
    <t>AST0163</t>
  </si>
  <si>
    <t>SN202600163</t>
  </si>
  <si>
    <t>AST0164</t>
  </si>
  <si>
    <t>SN202600164</t>
  </si>
  <si>
    <t>AST0165</t>
  </si>
  <si>
    <t>SN202600165</t>
  </si>
  <si>
    <t>AST0166</t>
  </si>
  <si>
    <t>SN202600166</t>
  </si>
  <si>
    <t>AST0167</t>
  </si>
  <si>
    <t>SN202600167</t>
  </si>
  <si>
    <t>AST0168</t>
  </si>
  <si>
    <t>SN202600168</t>
  </si>
  <si>
    <t>AST0169</t>
  </si>
  <si>
    <t>SN202600169</t>
  </si>
  <si>
    <t>AST0170</t>
  </si>
  <si>
    <t>SN202600170</t>
  </si>
  <si>
    <t>AST0171</t>
  </si>
  <si>
    <t>SN202600171</t>
  </si>
  <si>
    <t>AST0172</t>
  </si>
  <si>
    <t>SN202600172</t>
  </si>
  <si>
    <t>AST0173</t>
  </si>
  <si>
    <t>SN202600173</t>
  </si>
  <si>
    <t>AST0174</t>
  </si>
  <si>
    <t>SN202600174</t>
  </si>
  <si>
    <t>AST0175</t>
  </si>
  <si>
    <t>SN202600175</t>
  </si>
  <si>
    <t>AST0176</t>
  </si>
  <si>
    <t>SN202600176</t>
  </si>
  <si>
    <t>AST0177</t>
  </si>
  <si>
    <t>SN202600177</t>
  </si>
  <si>
    <t>AST0178</t>
  </si>
  <si>
    <t>SN202600178</t>
  </si>
  <si>
    <t>AST0179</t>
  </si>
  <si>
    <t>SN202600179</t>
  </si>
  <si>
    <t>AST0180</t>
  </si>
  <si>
    <t>SN202600180</t>
  </si>
  <si>
    <t>AST0181</t>
  </si>
  <si>
    <t>SN202600181</t>
  </si>
  <si>
    <t>AST0182</t>
  </si>
  <si>
    <t>SN202600182</t>
  </si>
  <si>
    <t>AST0183</t>
  </si>
  <si>
    <t>SN202600183</t>
  </si>
  <si>
    <t>AST0184</t>
  </si>
  <si>
    <t>SN202600184</t>
  </si>
  <si>
    <t>AST0185</t>
  </si>
  <si>
    <t>SN202600185</t>
  </si>
  <si>
    <t>AST0186</t>
  </si>
  <si>
    <t>SN202600186</t>
  </si>
  <si>
    <t>AST0187</t>
  </si>
  <si>
    <t>SN202600187</t>
  </si>
  <si>
    <t>AST0188</t>
  </si>
  <si>
    <t>SN202600188</t>
  </si>
  <si>
    <t>AST0189</t>
  </si>
  <si>
    <t>SN202600189</t>
  </si>
  <si>
    <t>AST0190</t>
  </si>
  <si>
    <t>SN202600190</t>
  </si>
  <si>
    <t>AST0191</t>
  </si>
  <si>
    <t>SN202600191</t>
  </si>
  <si>
    <t>AST0192</t>
  </si>
  <si>
    <t>SN202600192</t>
  </si>
  <si>
    <t>AST0193</t>
  </si>
  <si>
    <t>SN202600193</t>
  </si>
  <si>
    <t>AST0194</t>
  </si>
  <si>
    <t>SN202600194</t>
  </si>
  <si>
    <t>AST0195</t>
  </si>
  <si>
    <t>SN202600195</t>
  </si>
  <si>
    <t>AST0196</t>
  </si>
  <si>
    <t>SN202600196</t>
  </si>
  <si>
    <t>AST0197</t>
  </si>
  <si>
    <t>SN202600197</t>
  </si>
  <si>
    <t>AST0198</t>
  </si>
  <si>
    <t>SN202600198</t>
  </si>
  <si>
    <t>AST0199</t>
  </si>
  <si>
    <t>SN202600199</t>
  </si>
  <si>
    <t>AST0200</t>
  </si>
  <si>
    <t>SN202600200</t>
  </si>
  <si>
    <t>AST0201</t>
  </si>
  <si>
    <t>SN202600201</t>
  </si>
  <si>
    <t>AST0202</t>
  </si>
  <si>
    <t>SN202600202</t>
  </si>
  <si>
    <t>AST0203</t>
  </si>
  <si>
    <t>SN202600203</t>
  </si>
  <si>
    <t>AST0204</t>
  </si>
  <si>
    <t>SN202600204</t>
  </si>
  <si>
    <t>AST0205</t>
  </si>
  <si>
    <t>SN202600205</t>
  </si>
  <si>
    <t>AST0206</t>
  </si>
  <si>
    <t>SN202600206</t>
  </si>
  <si>
    <t>AST0207</t>
  </si>
  <si>
    <t>SN202600207</t>
  </si>
  <si>
    <t>AST0208</t>
  </si>
  <si>
    <t>SN202600208</t>
  </si>
  <si>
    <t>AST0209</t>
  </si>
  <si>
    <t>SN202600209</t>
  </si>
  <si>
    <t>AST0210</t>
  </si>
  <si>
    <t>SN202600210</t>
  </si>
  <si>
    <t>AST0211</t>
  </si>
  <si>
    <t>SN202600211</t>
  </si>
  <si>
    <t>AST0212</t>
  </si>
  <si>
    <t>SN202600212</t>
  </si>
  <si>
    <t>AST0213</t>
  </si>
  <si>
    <t>SN202600213</t>
  </si>
  <si>
    <t>AST0214</t>
  </si>
  <si>
    <t>SN202600214</t>
  </si>
  <si>
    <t>AST0215</t>
  </si>
  <si>
    <t>SN202600215</t>
  </si>
  <si>
    <t>AST0216</t>
  </si>
  <si>
    <t>SN202600216</t>
  </si>
  <si>
    <t>AST0217</t>
  </si>
  <si>
    <t>SN202600217</t>
  </si>
  <si>
    <t>AST0218</t>
  </si>
  <si>
    <t>SN202600218</t>
  </si>
  <si>
    <t>AST0219</t>
  </si>
  <si>
    <t>SN202600219</t>
  </si>
  <si>
    <t>AST0220</t>
  </si>
  <si>
    <t>SN202600220</t>
  </si>
  <si>
    <t>AST0221</t>
  </si>
  <si>
    <t>SN202600221</t>
  </si>
  <si>
    <t>AST0222</t>
  </si>
  <si>
    <t>SN202600222</t>
  </si>
  <si>
    <t>AST0223</t>
  </si>
  <si>
    <t>SN202600223</t>
  </si>
  <si>
    <t>AST0224</t>
  </si>
  <si>
    <t>SN202600224</t>
  </si>
  <si>
    <t>AST0225</t>
  </si>
  <si>
    <t>SN202600225</t>
  </si>
  <si>
    <t>AST0226</t>
  </si>
  <si>
    <t>SN202600226</t>
  </si>
  <si>
    <t>AST0227</t>
  </si>
  <si>
    <t>SN202600227</t>
  </si>
  <si>
    <t>AST0228</t>
  </si>
  <si>
    <t>SN202600228</t>
  </si>
  <si>
    <t>AST0229</t>
  </si>
  <si>
    <t>SN202600229</t>
  </si>
  <si>
    <t>AST0230</t>
  </si>
  <si>
    <t>SN202600230</t>
  </si>
  <si>
    <t>AST0231</t>
  </si>
  <si>
    <t>SN202600231</t>
  </si>
  <si>
    <t>AST0232</t>
  </si>
  <si>
    <t>SN202600232</t>
  </si>
  <si>
    <t>AST0233</t>
  </si>
  <si>
    <t>SN202600233</t>
  </si>
  <si>
    <t>AST0234</t>
  </si>
  <si>
    <t>SN202600234</t>
  </si>
  <si>
    <t>AST0235</t>
  </si>
  <si>
    <t>SN202600235</t>
  </si>
  <si>
    <t>AST0236</t>
  </si>
  <si>
    <t>SN202600236</t>
  </si>
  <si>
    <t>AST0237</t>
  </si>
  <si>
    <t>SN202600237</t>
  </si>
  <si>
    <t>AST0238</t>
  </si>
  <si>
    <t>SN202600238</t>
  </si>
  <si>
    <t>AST0239</t>
  </si>
  <si>
    <t>SN202600239</t>
  </si>
  <si>
    <t>AST0240</t>
  </si>
  <si>
    <t>SN202600240</t>
  </si>
  <si>
    <t>AST0241</t>
  </si>
  <si>
    <t>SN202600241</t>
  </si>
  <si>
    <t>AST0242</t>
  </si>
  <si>
    <t>SN202600242</t>
  </si>
  <si>
    <t>AST0243</t>
  </si>
  <si>
    <t>SN202600243</t>
  </si>
  <si>
    <t>AST0244</t>
  </si>
  <si>
    <t>SN202600244</t>
  </si>
  <si>
    <t>AST0245</t>
  </si>
  <si>
    <t>SN202600245</t>
  </si>
  <si>
    <t>AST0246</t>
  </si>
  <si>
    <t>SN202600246</t>
  </si>
  <si>
    <t>AST0247</t>
  </si>
  <si>
    <t>SN202600247</t>
  </si>
  <si>
    <t>AST0248</t>
  </si>
  <si>
    <t>SN202600248</t>
  </si>
  <si>
    <t>AST0249</t>
  </si>
  <si>
    <t>SN202600249</t>
  </si>
  <si>
    <t>AST0250</t>
  </si>
  <si>
    <t>SN202600250</t>
  </si>
  <si>
    <t>AST0251</t>
  </si>
  <si>
    <t>SN202600251</t>
  </si>
  <si>
    <t>AST0252</t>
  </si>
  <si>
    <t>SN202600252</t>
  </si>
  <si>
    <t>AST0253</t>
  </si>
  <si>
    <t>SN202600253</t>
  </si>
  <si>
    <t>AST0254</t>
  </si>
  <si>
    <t>SN202600254</t>
  </si>
  <si>
    <t>AST0255</t>
  </si>
  <si>
    <t>SN202600255</t>
  </si>
  <si>
    <t>AST0256</t>
  </si>
  <si>
    <t>SN202600256</t>
  </si>
  <si>
    <t>AST0257</t>
  </si>
  <si>
    <t>SN202600257</t>
  </si>
  <si>
    <t>AST0258</t>
  </si>
  <si>
    <t>SN202600258</t>
  </si>
  <si>
    <t>AST0259</t>
  </si>
  <si>
    <t>SN202600259</t>
  </si>
  <si>
    <t>AST0260</t>
  </si>
  <si>
    <t>SN202600260</t>
  </si>
  <si>
    <t>AST0261</t>
  </si>
  <si>
    <t>SN202600261</t>
  </si>
  <si>
    <t>AST0262</t>
  </si>
  <si>
    <t>SN202600262</t>
  </si>
  <si>
    <t>AST0263</t>
  </si>
  <si>
    <t>SN202600263</t>
  </si>
  <si>
    <t>AST0264</t>
  </si>
  <si>
    <t>SN202600264</t>
  </si>
  <si>
    <t>AST0265</t>
  </si>
  <si>
    <t>SN202600265</t>
  </si>
  <si>
    <t>AST0266</t>
  </si>
  <si>
    <t>SN202600266</t>
  </si>
  <si>
    <t>AST0267</t>
  </si>
  <si>
    <t>SN202600267</t>
  </si>
  <si>
    <t>AST0268</t>
  </si>
  <si>
    <t>SN202600268</t>
  </si>
  <si>
    <t>AST0269</t>
  </si>
  <si>
    <t>SN202600269</t>
  </si>
  <si>
    <t>AST0270</t>
  </si>
  <si>
    <t>SN202600270</t>
  </si>
  <si>
    <t>AST0271</t>
  </si>
  <si>
    <t>SN202600271</t>
  </si>
  <si>
    <t>AST0272</t>
  </si>
  <si>
    <t>SN202600272</t>
  </si>
  <si>
    <t>AST0273</t>
  </si>
  <si>
    <t>SN202600273</t>
  </si>
  <si>
    <t>AST0274</t>
  </si>
  <si>
    <t>SN202600274</t>
  </si>
  <si>
    <t>AST0275</t>
  </si>
  <si>
    <t>SN202600275</t>
  </si>
  <si>
    <t>AST0276</t>
  </si>
  <si>
    <t>SN202600276</t>
  </si>
  <si>
    <t>AST0277</t>
  </si>
  <si>
    <t>SN202600277</t>
  </si>
  <si>
    <t>AST0278</t>
  </si>
  <si>
    <t>SN202600278</t>
  </si>
  <si>
    <t>AST0279</t>
  </si>
  <si>
    <t>SN202600279</t>
  </si>
  <si>
    <t>AST0280</t>
  </si>
  <si>
    <t>SN202600280</t>
  </si>
  <si>
    <t>AST0281</t>
  </si>
  <si>
    <t>SN202600281</t>
  </si>
  <si>
    <t>AST0282</t>
  </si>
  <si>
    <t>SN202600282</t>
  </si>
  <si>
    <t>AST0283</t>
  </si>
  <si>
    <t>SN202600283</t>
  </si>
  <si>
    <t>AST0284</t>
  </si>
  <si>
    <t>SN202600284</t>
  </si>
  <si>
    <t>AST0285</t>
  </si>
  <si>
    <t>SN202600285</t>
  </si>
  <si>
    <t>AST0286</t>
  </si>
  <si>
    <t>SN202600286</t>
  </si>
  <si>
    <t>AST0287</t>
  </si>
  <si>
    <t>SN202600287</t>
  </si>
  <si>
    <t>AST0288</t>
  </si>
  <si>
    <t>SN202600288</t>
  </si>
  <si>
    <t>AST0289</t>
  </si>
  <si>
    <t>SN202600289</t>
  </si>
  <si>
    <t>AST0290</t>
  </si>
  <si>
    <t>SN202600290</t>
  </si>
  <si>
    <t>AST0291</t>
  </si>
  <si>
    <t>SN202600291</t>
  </si>
  <si>
    <t>AST0292</t>
  </si>
  <si>
    <t>SN202600292</t>
  </si>
  <si>
    <t>AST0293</t>
  </si>
  <si>
    <t>SN202600293</t>
  </si>
  <si>
    <t>AST0294</t>
  </si>
  <si>
    <t>SN202600294</t>
  </si>
  <si>
    <t>AST0295</t>
  </si>
  <si>
    <t>SN202600295</t>
  </si>
  <si>
    <t>AST0296</t>
  </si>
  <si>
    <t>SN202600296</t>
  </si>
  <si>
    <t>AST0297</t>
  </si>
  <si>
    <t>SN202600297</t>
  </si>
  <si>
    <t>AST0298</t>
  </si>
  <si>
    <t>SN202600298</t>
  </si>
  <si>
    <t>AST0299</t>
  </si>
  <si>
    <t>SN202600299</t>
  </si>
  <si>
    <t>AST0300</t>
  </si>
  <si>
    <t>SN202600300</t>
  </si>
  <si>
    <t>AST0301</t>
  </si>
  <si>
    <t>SN202600301</t>
  </si>
  <si>
    <t>AST0302</t>
  </si>
  <si>
    <t>SN202600302</t>
  </si>
  <si>
    <t>AST0303</t>
  </si>
  <si>
    <t>SN202600303</t>
  </si>
  <si>
    <t>AST0304</t>
  </si>
  <si>
    <t>SN202600304</t>
  </si>
  <si>
    <t>AST0305</t>
  </si>
  <si>
    <t>SN202600305</t>
  </si>
  <si>
    <t>AST0306</t>
  </si>
  <si>
    <t>SN202600306</t>
  </si>
  <si>
    <t>AST0307</t>
  </si>
  <si>
    <t>SN202600307</t>
  </si>
  <si>
    <t>AST0308</t>
  </si>
  <si>
    <t>SN202600308</t>
  </si>
  <si>
    <t>AST0309</t>
  </si>
  <si>
    <t>SN202600309</t>
  </si>
  <si>
    <t>AST0310</t>
  </si>
  <si>
    <t>SN202600310</t>
  </si>
  <si>
    <t>AST0311</t>
  </si>
  <si>
    <t>SN202600311</t>
  </si>
  <si>
    <t>AST0312</t>
  </si>
  <si>
    <t>SN202600312</t>
  </si>
  <si>
    <t>AST0313</t>
  </si>
  <si>
    <t>SN202600313</t>
  </si>
  <si>
    <t>AST0314</t>
  </si>
  <si>
    <t>SN202600314</t>
  </si>
  <si>
    <t>AST0315</t>
  </si>
  <si>
    <t>SN202600315</t>
  </si>
  <si>
    <t>AST0316</t>
  </si>
  <si>
    <t>SN202600316</t>
  </si>
  <si>
    <t>AST0317</t>
  </si>
  <si>
    <t>SN202600317</t>
  </si>
  <si>
    <t>AST0318</t>
  </si>
  <si>
    <t>SN202600318</t>
  </si>
  <si>
    <t>AST0319</t>
  </si>
  <si>
    <t>SN202600319</t>
  </si>
  <si>
    <t>AST0320</t>
  </si>
  <si>
    <t>SN202600320</t>
  </si>
  <si>
    <t>AST0321</t>
  </si>
  <si>
    <t>SN202600321</t>
  </si>
  <si>
    <t>AST0322</t>
  </si>
  <si>
    <t>SN202600322</t>
  </si>
  <si>
    <t>AST0323</t>
  </si>
  <si>
    <t>SN202600323</t>
  </si>
  <si>
    <t>AST0324</t>
  </si>
  <si>
    <t>SN202600324</t>
  </si>
  <si>
    <t>AST0325</t>
  </si>
  <si>
    <t>SN202600325</t>
  </si>
  <si>
    <t>AST0326</t>
  </si>
  <si>
    <t>SN202600326</t>
  </si>
  <si>
    <t>AST0327</t>
  </si>
  <si>
    <t>SN202600327</t>
  </si>
  <si>
    <t>AST0328</t>
  </si>
  <si>
    <t>SN202600328</t>
  </si>
  <si>
    <t>AST0329</t>
  </si>
  <si>
    <t>SN202600329</t>
  </si>
  <si>
    <t>AST0330</t>
  </si>
  <si>
    <t>SN202600330</t>
  </si>
  <si>
    <t>AST0331</t>
  </si>
  <si>
    <t>SN202600331</t>
  </si>
  <si>
    <t>AST0332</t>
  </si>
  <si>
    <t>SN202600332</t>
  </si>
  <si>
    <t>AST0333</t>
  </si>
  <si>
    <t>SN202600333</t>
  </si>
  <si>
    <t>AST0334</t>
  </si>
  <si>
    <t>SN202600334</t>
  </si>
  <si>
    <t>AST0335</t>
  </si>
  <si>
    <t>SN202600335</t>
  </si>
  <si>
    <t>AST0336</t>
  </si>
  <si>
    <t>SN202600336</t>
  </si>
  <si>
    <t>AST0337</t>
  </si>
  <si>
    <t>SN202600337</t>
  </si>
  <si>
    <t>AST0338</t>
  </si>
  <si>
    <t>SN202600338</t>
  </si>
  <si>
    <t>AST0339</t>
  </si>
  <si>
    <t>SN202600339</t>
  </si>
  <si>
    <t>AST0340</t>
  </si>
  <si>
    <t>SN202600340</t>
  </si>
  <si>
    <t>AST0341</t>
  </si>
  <si>
    <t>SN202600341</t>
  </si>
  <si>
    <t>AST0342</t>
  </si>
  <si>
    <t>SN202600342</t>
  </si>
  <si>
    <t>AST0343</t>
  </si>
  <si>
    <t>SN202600343</t>
  </si>
  <si>
    <t>AST0344</t>
  </si>
  <si>
    <t>SN202600344</t>
  </si>
  <si>
    <t>AST0345</t>
  </si>
  <si>
    <t>SN202600345</t>
  </si>
  <si>
    <t>AST0346</t>
  </si>
  <si>
    <t>SN202600346</t>
  </si>
  <si>
    <t>AST0347</t>
  </si>
  <si>
    <t>SN202600347</t>
  </si>
  <si>
    <t>AST0348</t>
  </si>
  <si>
    <t>SN202600348</t>
  </si>
  <si>
    <t>AST0349</t>
  </si>
  <si>
    <t>SN202600349</t>
  </si>
  <si>
    <t>AST0350</t>
  </si>
  <si>
    <t>SN202600350</t>
  </si>
  <si>
    <t>AST0351</t>
  </si>
  <si>
    <t>SN202600351</t>
  </si>
  <si>
    <t>AST0352</t>
  </si>
  <si>
    <t>SN202600352</t>
  </si>
  <si>
    <t>AST0353</t>
  </si>
  <si>
    <t>SN202600353</t>
  </si>
  <si>
    <t>AST0354</t>
  </si>
  <si>
    <t>SN202600354</t>
  </si>
  <si>
    <t>AST0355</t>
  </si>
  <si>
    <t>SN202600355</t>
  </si>
  <si>
    <t>AST0356</t>
  </si>
  <si>
    <t>SN202600356</t>
  </si>
  <si>
    <t>AST0357</t>
  </si>
  <si>
    <t>SN202600357</t>
  </si>
  <si>
    <t>AST0358</t>
  </si>
  <si>
    <t>SN202600358</t>
  </si>
  <si>
    <t>AST0359</t>
  </si>
  <si>
    <t>SN202600359</t>
  </si>
  <si>
    <t>AST0360</t>
  </si>
  <si>
    <t>SN202600360</t>
  </si>
  <si>
    <t>AST0361</t>
  </si>
  <si>
    <t>SN202600361</t>
  </si>
  <si>
    <t>AST0362</t>
  </si>
  <si>
    <t>SN202600362</t>
  </si>
  <si>
    <t>AST0363</t>
  </si>
  <si>
    <t>SN202600363</t>
  </si>
  <si>
    <t>AST0364</t>
  </si>
  <si>
    <t>SN202600364</t>
  </si>
  <si>
    <t>AST0365</t>
  </si>
  <si>
    <t>SN202600365</t>
  </si>
  <si>
    <t>AST0366</t>
  </si>
  <si>
    <t>SN202600366</t>
  </si>
  <si>
    <t>AST0367</t>
  </si>
  <si>
    <t>SN202600367</t>
  </si>
  <si>
    <t>AST0368</t>
  </si>
  <si>
    <t>SN202600368</t>
  </si>
  <si>
    <t>AST0369</t>
  </si>
  <si>
    <t>SN202600369</t>
  </si>
  <si>
    <t>AST0370</t>
  </si>
  <si>
    <t>SN202600370</t>
  </si>
  <si>
    <t>AST0371</t>
  </si>
  <si>
    <t>SN202600371</t>
  </si>
  <si>
    <t>AST0372</t>
  </si>
  <si>
    <t>SN202600372</t>
  </si>
  <si>
    <t>AST0373</t>
  </si>
  <si>
    <t>SN202600373</t>
  </si>
  <si>
    <t>AST0374</t>
  </si>
  <si>
    <t>SN202600374</t>
  </si>
  <si>
    <t>AST0375</t>
  </si>
  <si>
    <t>SN202600375</t>
  </si>
  <si>
    <t>AST0376</t>
  </si>
  <si>
    <t>SN202600376</t>
  </si>
  <si>
    <t>AST0377</t>
  </si>
  <si>
    <t>SN202600377</t>
  </si>
  <si>
    <t>AST0378</t>
  </si>
  <si>
    <t>SN202600378</t>
  </si>
  <si>
    <t>AST0379</t>
  </si>
  <si>
    <t>SN202600379</t>
  </si>
  <si>
    <t>AST0380</t>
  </si>
  <si>
    <t>SN202600380</t>
  </si>
  <si>
    <t>AST0381</t>
  </si>
  <si>
    <t>SN202600381</t>
  </si>
  <si>
    <t>AST0382</t>
  </si>
  <si>
    <t>SN202600382</t>
  </si>
  <si>
    <t>AST0383</t>
  </si>
  <si>
    <t>SN202600383</t>
  </si>
  <si>
    <t>AST0384</t>
  </si>
  <si>
    <t>SN202600384</t>
  </si>
  <si>
    <t>AST0385</t>
  </si>
  <si>
    <t>SN202600385</t>
  </si>
  <si>
    <t>AST0386</t>
  </si>
  <si>
    <t>SN202600386</t>
  </si>
  <si>
    <t>AST0387</t>
  </si>
  <si>
    <t>SN202600387</t>
  </si>
  <si>
    <t>AST0388</t>
  </si>
  <si>
    <t>SN202600388</t>
  </si>
  <si>
    <t>AST0389</t>
  </si>
  <si>
    <t>SN202600389</t>
  </si>
  <si>
    <t>AST0390</t>
  </si>
  <si>
    <t>SN202600390</t>
  </si>
  <si>
    <t>AST0391</t>
  </si>
  <si>
    <t>SN202600391</t>
  </si>
  <si>
    <t>AST0392</t>
  </si>
  <si>
    <t>SN202600392</t>
  </si>
  <si>
    <t>AST0393</t>
  </si>
  <si>
    <t>SN202600393</t>
  </si>
  <si>
    <t>AST0394</t>
  </si>
  <si>
    <t>SN202600394</t>
  </si>
  <si>
    <t>AST0395</t>
  </si>
  <si>
    <t>SN202600395</t>
  </si>
  <si>
    <t>AST0396</t>
  </si>
  <si>
    <t>SN202600396</t>
  </si>
  <si>
    <t>AST0397</t>
  </si>
  <si>
    <t>SN202600397</t>
  </si>
  <si>
    <t>AST0398</t>
  </si>
  <si>
    <t>SN202600398</t>
  </si>
  <si>
    <t>AST0399</t>
  </si>
  <si>
    <t>SN202600399</t>
  </si>
  <si>
    <t>AST0400</t>
  </si>
  <si>
    <t>SN202600400</t>
  </si>
  <si>
    <t>AST0401</t>
  </si>
  <si>
    <t>SN202600401</t>
  </si>
  <si>
    <t>AST0402</t>
  </si>
  <si>
    <t>SN202600402</t>
  </si>
  <si>
    <t>AST0403</t>
  </si>
  <si>
    <t>SN202600403</t>
  </si>
  <si>
    <t>AST0404</t>
  </si>
  <si>
    <t>SN202600404</t>
  </si>
  <si>
    <t>AST0405</t>
  </si>
  <si>
    <t>SN202600405</t>
  </si>
  <si>
    <t>AST0406</t>
  </si>
  <si>
    <t>SN202600406</t>
  </si>
  <si>
    <t>AST0407</t>
  </si>
  <si>
    <t>SN202600407</t>
  </si>
  <si>
    <t>AST0408</t>
  </si>
  <si>
    <t>SN202600408</t>
  </si>
  <si>
    <t>AST0409</t>
  </si>
  <si>
    <t>SN202600409</t>
  </si>
  <si>
    <t>AST0410</t>
  </si>
  <si>
    <t>SN202600410</t>
  </si>
  <si>
    <t>AST0411</t>
  </si>
  <si>
    <t>SN202600411</t>
  </si>
  <si>
    <t>AST0412</t>
  </si>
  <si>
    <t>SN202600412</t>
  </si>
  <si>
    <t>AST0413</t>
  </si>
  <si>
    <t>SN202600413</t>
  </si>
  <si>
    <t>AST0414</t>
  </si>
  <si>
    <t>SN202600414</t>
  </si>
  <si>
    <t>AST0415</t>
  </si>
  <si>
    <t>SN202600415</t>
  </si>
  <si>
    <t>AST0416</t>
  </si>
  <si>
    <t>SN202600416</t>
  </si>
  <si>
    <t>AST0417</t>
  </si>
  <si>
    <t>SN202600417</t>
  </si>
  <si>
    <t>AST0418</t>
  </si>
  <si>
    <t>SN202600418</t>
  </si>
  <si>
    <t>AST0419</t>
  </si>
  <si>
    <t>SN202600419</t>
  </si>
  <si>
    <t>AST0420</t>
  </si>
  <si>
    <t>SN202600420</t>
  </si>
  <si>
    <t>AST0421</t>
  </si>
  <si>
    <t>SN202600421</t>
  </si>
  <si>
    <t>AST0422</t>
  </si>
  <si>
    <t>SN202600422</t>
  </si>
  <si>
    <t>AST0423</t>
  </si>
  <si>
    <t>SN202600423</t>
  </si>
  <si>
    <t>AST0424</t>
  </si>
  <si>
    <t>SN202600424</t>
  </si>
  <si>
    <t>AST0425</t>
  </si>
  <si>
    <t>SN202600425</t>
  </si>
  <si>
    <t>AST0426</t>
  </si>
  <si>
    <t>SN202600426</t>
  </si>
  <si>
    <t>AST0427</t>
  </si>
  <si>
    <t>SN202600427</t>
  </si>
  <si>
    <t>AST0428</t>
  </si>
  <si>
    <t>SN202600428</t>
  </si>
  <si>
    <t>AST0429</t>
  </si>
  <si>
    <t>SN202600429</t>
  </si>
  <si>
    <t>AST0430</t>
  </si>
  <si>
    <t>SN202600430</t>
  </si>
  <si>
    <t>AST0431</t>
  </si>
  <si>
    <t>SN202600431</t>
  </si>
  <si>
    <t>AST0432</t>
  </si>
  <si>
    <t>SN202600432</t>
  </si>
  <si>
    <t>AST0433</t>
  </si>
  <si>
    <t>SN202600433</t>
  </si>
  <si>
    <t>AST0434</t>
  </si>
  <si>
    <t>SN202600434</t>
  </si>
  <si>
    <t>AST0435</t>
  </si>
  <si>
    <t>SN202600435</t>
  </si>
  <si>
    <t>AST0436</t>
  </si>
  <si>
    <t>SN202600436</t>
  </si>
  <si>
    <t>AST0437</t>
  </si>
  <si>
    <t>SN202600437</t>
  </si>
  <si>
    <t>AST0438</t>
  </si>
  <si>
    <t>SN202600438</t>
  </si>
  <si>
    <t>AST0439</t>
  </si>
  <si>
    <t>SN202600439</t>
  </si>
  <si>
    <t>AST0440</t>
  </si>
  <si>
    <t>SN202600440</t>
  </si>
  <si>
    <t>AST0441</t>
  </si>
  <si>
    <t>SN202600441</t>
  </si>
  <si>
    <t>AST0442</t>
  </si>
  <si>
    <t>SN202600442</t>
  </si>
  <si>
    <t>AST0443</t>
  </si>
  <si>
    <t>SN202600443</t>
  </si>
  <si>
    <t>AST0444</t>
  </si>
  <si>
    <t>SN202600444</t>
  </si>
  <si>
    <t>AST0445</t>
  </si>
  <si>
    <t>SN202600445</t>
  </si>
  <si>
    <t>AST0446</t>
  </si>
  <si>
    <t>SN202600446</t>
  </si>
  <si>
    <t>AST0447</t>
  </si>
  <si>
    <t>SN202600447</t>
  </si>
  <si>
    <t>AST0448</t>
  </si>
  <si>
    <t>SN202600448</t>
  </si>
  <si>
    <t>AST0449</t>
  </si>
  <si>
    <t>SN202600449</t>
  </si>
  <si>
    <t>AST0450</t>
  </si>
  <si>
    <t>SN202600450</t>
  </si>
  <si>
    <t>AST0451</t>
  </si>
  <si>
    <t>SN202600451</t>
  </si>
  <si>
    <t>AST0452</t>
  </si>
  <si>
    <t>SN202600452</t>
  </si>
  <si>
    <t>AST0453</t>
  </si>
  <si>
    <t>SN202600453</t>
  </si>
  <si>
    <t>AST0454</t>
  </si>
  <si>
    <t>SN202600454</t>
  </si>
  <si>
    <t>AST0455</t>
  </si>
  <si>
    <t>SN202600455</t>
  </si>
  <si>
    <t>AST0456</t>
  </si>
  <si>
    <t>SN202600456</t>
  </si>
  <si>
    <t>AST0457</t>
  </si>
  <si>
    <t>SN202600457</t>
  </si>
  <si>
    <t>AST0458</t>
  </si>
  <si>
    <t>SN202600458</t>
  </si>
  <si>
    <t>AST0459</t>
  </si>
  <si>
    <t>SN202600459</t>
  </si>
  <si>
    <t>AST0460</t>
  </si>
  <si>
    <t>SN202600460</t>
  </si>
  <si>
    <t>AST0461</t>
  </si>
  <si>
    <t>SN202600461</t>
  </si>
  <si>
    <t>AST0462</t>
  </si>
  <si>
    <t>SN202600462</t>
  </si>
  <si>
    <t>AST0463</t>
  </si>
  <si>
    <t>SN202600463</t>
  </si>
  <si>
    <t>AST0464</t>
  </si>
  <si>
    <t>SN202600464</t>
  </si>
  <si>
    <t>AST0465</t>
  </si>
  <si>
    <t>SN202600465</t>
  </si>
  <si>
    <t>AST0466</t>
  </si>
  <si>
    <t>SN202600466</t>
  </si>
  <si>
    <t>AST0467</t>
  </si>
  <si>
    <t>SN202600467</t>
  </si>
  <si>
    <t>AST0468</t>
  </si>
  <si>
    <t>SN202600468</t>
  </si>
  <si>
    <t>AST0469</t>
  </si>
  <si>
    <t>SN202600469</t>
  </si>
  <si>
    <t>AST0470</t>
  </si>
  <si>
    <t>SN202600470</t>
  </si>
  <si>
    <t>AST0471</t>
  </si>
  <si>
    <t>SN202600471</t>
  </si>
  <si>
    <t>AST0472</t>
  </si>
  <si>
    <t>SN202600472</t>
  </si>
  <si>
    <t>AST0473</t>
  </si>
  <si>
    <t>SN202600473</t>
  </si>
  <si>
    <t>AST0474</t>
  </si>
  <si>
    <t>SN202600474</t>
  </si>
  <si>
    <t>AST0475</t>
  </si>
  <si>
    <t>SN202600475</t>
  </si>
  <si>
    <t>AST0476</t>
  </si>
  <si>
    <t>SN202600476</t>
  </si>
  <si>
    <t>AST0477</t>
  </si>
  <si>
    <t>SN202600477</t>
  </si>
  <si>
    <t>AST0478</t>
  </si>
  <si>
    <t>SN202600478</t>
  </si>
  <si>
    <t>AST0479</t>
  </si>
  <si>
    <t>SN202600479</t>
  </si>
  <si>
    <t>AST0480</t>
  </si>
  <si>
    <t>SN202600480</t>
  </si>
  <si>
    <t>AST0481</t>
  </si>
  <si>
    <t>SN202600481</t>
  </si>
  <si>
    <t>AST0482</t>
  </si>
  <si>
    <t>SN202600482</t>
  </si>
  <si>
    <t>AST0483</t>
  </si>
  <si>
    <t>SN202600483</t>
  </si>
  <si>
    <t>AST0484</t>
  </si>
  <si>
    <t>SN202600484</t>
  </si>
  <si>
    <t>AST0485</t>
  </si>
  <si>
    <t>SN202600485</t>
  </si>
  <si>
    <t>AST0486</t>
  </si>
  <si>
    <t>SN202600486</t>
  </si>
  <si>
    <t>AST0487</t>
  </si>
  <si>
    <t>SN202600487</t>
  </si>
  <si>
    <t>AST0488</t>
  </si>
  <si>
    <t>SN202600488</t>
  </si>
  <si>
    <t>AST0489</t>
  </si>
  <si>
    <t>SN202600489</t>
  </si>
  <si>
    <t>AST0490</t>
  </si>
  <si>
    <t>SN202600490</t>
  </si>
  <si>
    <t>AST0491</t>
  </si>
  <si>
    <t>SN202600491</t>
  </si>
  <si>
    <t>AST0492</t>
  </si>
  <si>
    <t>SN202600492</t>
  </si>
  <si>
    <t>AST0493</t>
  </si>
  <si>
    <t>SN202600493</t>
  </si>
  <si>
    <t>AST0494</t>
  </si>
  <si>
    <t>SN202600494</t>
  </si>
  <si>
    <t>AST0495</t>
  </si>
  <si>
    <t>SN202600495</t>
  </si>
  <si>
    <t>AST0496</t>
  </si>
  <si>
    <t>SN202600496</t>
  </si>
  <si>
    <t>AST0497</t>
  </si>
  <si>
    <t>SN202600497</t>
  </si>
  <si>
    <t>AST0498</t>
  </si>
  <si>
    <t>SN202600498</t>
  </si>
  <si>
    <t>AST0499</t>
  </si>
  <si>
    <t>SN202600499</t>
  </si>
  <si>
    <t>AST0500</t>
  </si>
  <si>
    <t>SN202600500</t>
  </si>
  <si>
    <t>Aadhaar</t>
  </si>
  <si>
    <t>PAN</t>
  </si>
  <si>
    <t>Resume</t>
  </si>
  <si>
    <t>Offer_Letter</t>
  </si>
  <si>
    <t>Joining_Form</t>
  </si>
  <si>
    <t>Verification_Status</t>
  </si>
  <si>
    <t>Yes</t>
  </si>
  <si>
    <t>No</t>
  </si>
  <si>
    <t>Employee Office Administration Dashboard</t>
  </si>
  <si>
    <t>KPI</t>
  </si>
  <si>
    <t>Value</t>
  </si>
  <si>
    <t>Employees</t>
  </si>
  <si>
    <t>Total Employees</t>
  </si>
  <si>
    <t>Active Employees</t>
  </si>
  <si>
    <t>Present Records</t>
  </si>
  <si>
    <t>Absent Records</t>
  </si>
  <si>
    <t>Pending Leave Requests</t>
  </si>
  <si>
    <t>Assets Assigned</t>
  </si>
  <si>
    <t>Pending Document Verification</t>
  </si>
  <si>
    <t>Average Working Hours</t>
  </si>
  <si>
    <t>Attendance Status</t>
  </si>
  <si>
    <t>Count</t>
  </si>
  <si>
    <t>Document Status</t>
  </si>
  <si>
    <t>Completed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</si>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</sst>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hh:mm\ AM/PM"/>
    <numFmt numFmtId="166" formatCode="[h]:mm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font>
        <color rgb="FF9C0006"/>
      </font>
      <fill>
        <patternFill patternType="solid">
          <bgColor rgb="FFF8CBAD"/>
        </patternFill>
      </fill>
    </dxf>
    <dxf>
      <font>
        <color rgb="FF9C0006"/>
      </font>
      <fill>
        <patternFill patternType="solid">
          <bgColor rgb="FFF8CBAD"/>
        </patternFill>
      </fill>
    </dxf>
    <dxf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Employees</c:v>
          </c:tx>
          <c:invertIfNegative val="1"/>
          <c:cat>
            <c:strRef>
              <c:f>Dashboard!$D$4:$D$11</c:f>
              <c:strCache>
                <c:ptCount val="8"/>
                <c:pt idx="0">
                  <c:v>HR</c:v>
                </c:pt>
                <c:pt idx="1">
                  <c:v>Admin</c:v>
                </c:pt>
                <c:pt idx="2">
                  <c:v>Sales</c:v>
                </c:pt>
                <c:pt idx="3">
                  <c:v>IT</c:v>
                </c:pt>
                <c:pt idx="4">
                  <c:v>Support</c:v>
                </c:pt>
                <c:pt idx="5">
                  <c:v>Finance</c:v>
                </c:pt>
                <c:pt idx="6">
                  <c:v>Operations</c:v>
                </c:pt>
                <c:pt idx="7">
                  <c:v>Marketing</c:v>
                </c:pt>
              </c:strCache>
            </c:strRef>
          </c:cat>
          <c:val>
            <c:numRef>
              <c:f>Dashboard!$E$4:$E$11</c:f>
              <c:numCache>
                <c:formatCode>General</c:formatCode>
                <c:ptCount val="8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62</c:v>
                </c:pt>
                <c:pt idx="6">
                  <c:v>62</c:v>
                </c:pt>
                <c:pt idx="7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E-4BBA-9B63-5B12D17ED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Attendance Status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Count</c:v>
          </c:tx>
          <c:cat>
            <c:strRef>
              <c:f>Dashboard!$A$15:$A$17</c:f>
              <c:strCache>
                <c:ptCount val="3"/>
                <c:pt idx="0">
                  <c:v>Present</c:v>
                </c:pt>
                <c:pt idx="1">
                  <c:v>Absent</c:v>
                </c:pt>
                <c:pt idx="2">
                  <c:v>Late</c:v>
                </c:pt>
              </c:strCache>
            </c:strRef>
          </c:cat>
          <c:val>
            <c:numRef>
              <c:f>Dashboard!$B$15:$B$17</c:f>
              <c:numCache>
                <c:formatCode>General</c:formatCode>
                <c:ptCount val="3"/>
                <c:pt idx="0">
                  <c:v>300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1-4502-8A36-9844E9F68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Document Verification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Count</c:v>
          </c:tx>
          <c:cat>
            <c:strRef>
              <c:f>Dashboard!$D$15:$D$16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Dashboard!$E$15:$E$16</c:f>
              <c:numCache>
                <c:formatCode>General</c:formatCode>
                <c:ptCount val="2"/>
                <c:pt idx="0">
                  <c:v>209</c:v>
                </c:pt>
                <c:pt idx="1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9-42E8-9CE8-5E118454B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mployees" displayName="tblEmployees" ref="A1:L501">
  <tableColumns count="12">
    <tableColumn id="1" xr3:uid="{00000000-0010-0000-0000-000001000000}" name="Employee_ID"/>
    <tableColumn id="2" xr3:uid="{00000000-0010-0000-0000-000002000000}" name="First_Name"/>
    <tableColumn id="3" xr3:uid="{00000000-0010-0000-0000-000003000000}" name="Last_Name"/>
    <tableColumn id="12" xr3:uid="{157C98BD-A55A-4496-A56F-3E00F2D4F26E}" name="Full Name" dataDxfId="0">
      <calculatedColumnFormula>_xlfn.CONCAT(tblEmployees[[#This Row],[First_Name]]," ",tblEmployees[[#This Row],[Last_Name]])</calculatedColumnFormula>
    </tableColumn>
    <tableColumn id="4" xr3:uid="{00000000-0010-0000-0000-000004000000}" name="Gender"/>
    <tableColumn id="5" xr3:uid="{00000000-0010-0000-0000-000005000000}" name="Department"/>
    <tableColumn id="6" xr3:uid="{00000000-0010-0000-0000-000006000000}" name="Designation"/>
    <tableColumn id="7" xr3:uid="{00000000-0010-0000-0000-000007000000}" name="Phone"/>
    <tableColumn id="8" xr3:uid="{00000000-0010-0000-0000-000008000000}" name="Email"/>
    <tableColumn id="9" xr3:uid="{00000000-0010-0000-0000-000009000000}" name="Joining_Date"/>
    <tableColumn id="10" xr3:uid="{00000000-0010-0000-0000-00000A000000}" name="City"/>
    <tableColumn id="11" xr3:uid="{00000000-0010-0000-0000-00000B000000}" name="Employment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Attendance" displayName="tblAttendance" ref="A1:G501">
  <tableColumns count="7">
    <tableColumn id="1" xr3:uid="{00000000-0010-0000-0100-000001000000}" name="Attendance_ID"/>
    <tableColumn id="2" xr3:uid="{00000000-0010-0000-0100-000002000000}" name="Employee_ID"/>
    <tableColumn id="3" xr3:uid="{00000000-0010-0000-0100-000003000000}" name="Date"/>
    <tableColumn id="4" xr3:uid="{00000000-0010-0000-0100-000004000000}" name="Check_In"/>
    <tableColumn id="5" xr3:uid="{00000000-0010-0000-0100-000005000000}" name="Check_Out"/>
    <tableColumn id="6" xr3:uid="{00000000-0010-0000-0100-000006000000}" name="Working_Hours"/>
    <tableColumn id="7" xr3:uid="{00000000-0010-0000-0100-000007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Leave" displayName="tblLeave" ref="A1:H501">
  <tableColumns count="8">
    <tableColumn id="1" xr3:uid="{00000000-0010-0000-0200-000001000000}" name="Leave_ID"/>
    <tableColumn id="2" xr3:uid="{00000000-0010-0000-0200-000002000000}" name="Employee_ID"/>
    <tableColumn id="3" xr3:uid="{00000000-0010-0000-0200-000003000000}" name="Leave_Type"/>
    <tableColumn id="4" xr3:uid="{00000000-0010-0000-0200-000004000000}" name="From_Date"/>
    <tableColumn id="5" xr3:uid="{00000000-0010-0000-0200-000005000000}" name="To_Date"/>
    <tableColumn id="6" xr3:uid="{00000000-0010-0000-0200-000006000000}" name="Days"/>
    <tableColumn id="7" xr3:uid="{00000000-0010-0000-0200-000007000000}" name="Status"/>
    <tableColumn id="8" xr3:uid="{00000000-0010-0000-0200-000008000000}" name="Rea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Assets" displayName="tblAssets" ref="A1:G501">
  <tableColumns count="7">
    <tableColumn id="1" xr3:uid="{00000000-0010-0000-0300-000001000000}" name="Asset_ID"/>
    <tableColumn id="2" xr3:uid="{00000000-0010-0000-0300-000002000000}" name="Employee_ID"/>
    <tableColumn id="3" xr3:uid="{00000000-0010-0000-0300-000003000000}" name="Asset_Name"/>
    <tableColumn id="4" xr3:uid="{00000000-0010-0000-0300-000004000000}" name="Serial_Number"/>
    <tableColumn id="5" xr3:uid="{00000000-0010-0000-0300-000005000000}" name="Issue_Date"/>
    <tableColumn id="6" xr3:uid="{00000000-0010-0000-0300-000006000000}" name="Return_Date"/>
    <tableColumn id="7" xr3:uid="{00000000-0010-0000-0300-000007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ocuments" displayName="tblDocuments" ref="A1:G501">
  <tableColumns count="7">
    <tableColumn id="1" xr3:uid="{00000000-0010-0000-0400-000001000000}" name="Employee_ID"/>
    <tableColumn id="2" xr3:uid="{00000000-0010-0000-0400-000002000000}" name="Aadhaar"/>
    <tableColumn id="3" xr3:uid="{00000000-0010-0000-0400-000003000000}" name="PAN"/>
    <tableColumn id="4" xr3:uid="{00000000-0010-0000-0400-000004000000}" name="Resume"/>
    <tableColumn id="5" xr3:uid="{00000000-0010-0000-0400-000005000000}" name="Offer_Letter"/>
    <tableColumn id="6" xr3:uid="{00000000-0010-0000-0400-000006000000}" name="Joining_Form"/>
    <tableColumn id="7" xr3:uid="{00000000-0010-0000-0400-000007000000}" name="Verificatio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L2" sqref="L2"/>
    </sheetView>
  </sheetViews>
  <sheetFormatPr defaultRowHeight="13.8"/>
  <cols>
    <col min="1" max="1" width="14" customWidth="1"/>
    <col min="2" max="4" width="16" customWidth="1"/>
    <col min="5" max="5" width="12" customWidth="1"/>
    <col min="6" max="6" width="16" customWidth="1"/>
    <col min="7" max="7" width="26" customWidth="1"/>
    <col min="8" max="8" width="14" customWidth="1"/>
    <col min="9" max="9" width="30" customWidth="1"/>
    <col min="10" max="10" width="15" customWidth="1"/>
    <col min="11" max="11" width="14" customWidth="1"/>
    <col min="12" max="12" width="18" customWidth="1"/>
  </cols>
  <sheetData>
    <row r="1" spans="1:12" ht="27.6">
      <c r="A1" s="1" t="s">
        <v>0</v>
      </c>
      <c r="B1" s="1" t="s">
        <v>1</v>
      </c>
      <c r="C1" s="1" t="s">
        <v>2</v>
      </c>
      <c r="D1" s="1" t="s">
        <v>3670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tr">
        <f>_xlfn.CONCAT(tblEmployees[[#This Row],[First_Name]]," ",tblEmployees[[#This Row],[Last_Name]])</f>
        <v>Rahul Sharma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2">
        <v>45293</v>
      </c>
      <c r="K2" t="s">
        <v>19</v>
      </c>
      <c r="L2" t="s">
        <v>20</v>
      </c>
    </row>
    <row r="3" spans="1:12">
      <c r="A3" t="s">
        <v>21</v>
      </c>
      <c r="B3" t="s">
        <v>22</v>
      </c>
      <c r="C3" t="s">
        <v>23</v>
      </c>
      <c r="D3" t="str">
        <f>_xlfn.CONCAT(tblEmployees[[#This Row],[First_Name]]," ",tblEmployees[[#This Row],[Last_Name]])</f>
        <v>Priya Patel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s="2">
        <v>45294</v>
      </c>
      <c r="K3" t="s">
        <v>29</v>
      </c>
      <c r="L3" t="s">
        <v>20</v>
      </c>
    </row>
    <row r="4" spans="1:12">
      <c r="A4" t="s">
        <v>30</v>
      </c>
      <c r="B4" t="s">
        <v>31</v>
      </c>
      <c r="C4" t="s">
        <v>32</v>
      </c>
      <c r="D4" t="str">
        <f>_xlfn.CONCAT(tblEmployees[[#This Row],[First_Name]]," ",tblEmployees[[#This Row],[Last_Name]])</f>
        <v>Amit Gupta</v>
      </c>
      <c r="E4" t="s">
        <v>14</v>
      </c>
      <c r="F4" t="s">
        <v>33</v>
      </c>
      <c r="G4" t="s">
        <v>34</v>
      </c>
      <c r="H4" t="s">
        <v>35</v>
      </c>
      <c r="I4" t="s">
        <v>36</v>
      </c>
      <c r="J4" s="2">
        <v>45295</v>
      </c>
      <c r="K4" t="s">
        <v>37</v>
      </c>
      <c r="L4" t="s">
        <v>20</v>
      </c>
    </row>
    <row r="5" spans="1:12">
      <c r="A5" t="s">
        <v>38</v>
      </c>
      <c r="B5" t="s">
        <v>39</v>
      </c>
      <c r="C5" t="s">
        <v>40</v>
      </c>
      <c r="D5" t="str">
        <f>_xlfn.CONCAT(tblEmployees[[#This Row],[First_Name]]," ",tblEmployees[[#This Row],[Last_Name]])</f>
        <v>Sneha Singh</v>
      </c>
      <c r="E5" t="s">
        <v>24</v>
      </c>
      <c r="F5" t="s">
        <v>41</v>
      </c>
      <c r="G5" t="s">
        <v>42</v>
      </c>
      <c r="H5" t="s">
        <v>43</v>
      </c>
      <c r="I5" t="s">
        <v>44</v>
      </c>
      <c r="J5" s="2">
        <v>45296</v>
      </c>
      <c r="K5" t="s">
        <v>45</v>
      </c>
      <c r="L5" t="s">
        <v>46</v>
      </c>
    </row>
    <row r="6" spans="1:12">
      <c r="A6" t="s">
        <v>47</v>
      </c>
      <c r="B6" t="s">
        <v>48</v>
      </c>
      <c r="C6" t="s">
        <v>49</v>
      </c>
      <c r="D6" t="str">
        <f>_xlfn.CONCAT(tblEmployees[[#This Row],[First_Name]]," ",tblEmployees[[#This Row],[Last_Name]])</f>
        <v>Rohan Verma</v>
      </c>
      <c r="E6" t="s">
        <v>14</v>
      </c>
      <c r="F6" t="s">
        <v>50</v>
      </c>
      <c r="G6" t="s">
        <v>51</v>
      </c>
      <c r="H6" t="s">
        <v>52</v>
      </c>
      <c r="I6" t="s">
        <v>53</v>
      </c>
      <c r="J6" s="2">
        <v>45297</v>
      </c>
      <c r="K6" t="s">
        <v>54</v>
      </c>
      <c r="L6" t="s">
        <v>55</v>
      </c>
    </row>
    <row r="7" spans="1:12">
      <c r="A7" t="s">
        <v>56</v>
      </c>
      <c r="B7" t="s">
        <v>57</v>
      </c>
      <c r="C7" t="s">
        <v>58</v>
      </c>
      <c r="D7" t="str">
        <f>_xlfn.CONCAT(tblEmployees[[#This Row],[First_Name]]," ",tblEmployees[[#This Row],[Last_Name]])</f>
        <v>Pooja Joshi</v>
      </c>
      <c r="E7" t="s">
        <v>24</v>
      </c>
      <c r="F7" t="s">
        <v>59</v>
      </c>
      <c r="G7" t="s">
        <v>60</v>
      </c>
      <c r="H7" t="s">
        <v>61</v>
      </c>
      <c r="I7" t="s">
        <v>62</v>
      </c>
      <c r="J7" s="2">
        <v>45298</v>
      </c>
      <c r="K7" t="s">
        <v>63</v>
      </c>
      <c r="L7" t="s">
        <v>20</v>
      </c>
    </row>
    <row r="8" spans="1:12">
      <c r="A8" t="s">
        <v>64</v>
      </c>
      <c r="B8" t="s">
        <v>65</v>
      </c>
      <c r="C8" t="s">
        <v>66</v>
      </c>
      <c r="D8" t="str">
        <f>_xlfn.CONCAT(tblEmployees[[#This Row],[First_Name]]," ",tblEmployees[[#This Row],[Last_Name]])</f>
        <v>Arjun Kulkarni</v>
      </c>
      <c r="E8" t="s">
        <v>14</v>
      </c>
      <c r="F8" t="s">
        <v>67</v>
      </c>
      <c r="G8" t="s">
        <v>68</v>
      </c>
      <c r="H8" t="s">
        <v>69</v>
      </c>
      <c r="I8" t="s">
        <v>70</v>
      </c>
      <c r="J8" s="2">
        <v>45299</v>
      </c>
      <c r="K8" t="s">
        <v>71</v>
      </c>
      <c r="L8" t="s">
        <v>20</v>
      </c>
    </row>
    <row r="9" spans="1:12">
      <c r="A9" t="s">
        <v>72</v>
      </c>
      <c r="B9" t="s">
        <v>73</v>
      </c>
      <c r="C9" t="s">
        <v>74</v>
      </c>
      <c r="D9" t="str">
        <f>_xlfn.CONCAT(tblEmployees[[#This Row],[First_Name]]," ",tblEmployees[[#This Row],[Last_Name]])</f>
        <v>Neha Shaikh</v>
      </c>
      <c r="E9" t="s">
        <v>24</v>
      </c>
      <c r="F9" t="s">
        <v>75</v>
      </c>
      <c r="G9" t="s">
        <v>76</v>
      </c>
      <c r="H9" t="s">
        <v>77</v>
      </c>
      <c r="I9" t="s">
        <v>78</v>
      </c>
      <c r="J9" s="2">
        <v>45300</v>
      </c>
      <c r="K9" t="s">
        <v>79</v>
      </c>
      <c r="L9" t="s">
        <v>20</v>
      </c>
    </row>
    <row r="10" spans="1:12">
      <c r="A10" t="s">
        <v>80</v>
      </c>
      <c r="B10" t="s">
        <v>81</v>
      </c>
      <c r="C10" t="s">
        <v>82</v>
      </c>
      <c r="D10" t="str">
        <f>_xlfn.CONCAT(tblEmployees[[#This Row],[First_Name]]," ",tblEmployees[[#This Row],[Last_Name]])</f>
        <v>Karan Khan</v>
      </c>
      <c r="E10" t="s">
        <v>14</v>
      </c>
      <c r="F10" t="s">
        <v>15</v>
      </c>
      <c r="G10" t="s">
        <v>83</v>
      </c>
      <c r="H10" t="s">
        <v>84</v>
      </c>
      <c r="I10" t="s">
        <v>85</v>
      </c>
      <c r="J10" s="2">
        <v>45301</v>
      </c>
      <c r="K10" t="s">
        <v>86</v>
      </c>
      <c r="L10" t="s">
        <v>20</v>
      </c>
    </row>
    <row r="11" spans="1:12">
      <c r="A11" t="s">
        <v>87</v>
      </c>
      <c r="B11" t="s">
        <v>88</v>
      </c>
      <c r="C11" t="s">
        <v>89</v>
      </c>
      <c r="D11" t="str">
        <f>_xlfn.CONCAT(tblEmployees[[#This Row],[First_Name]]," ",tblEmployees[[#This Row],[Last_Name]])</f>
        <v>Anjali Yadav</v>
      </c>
      <c r="E11" t="s">
        <v>24</v>
      </c>
      <c r="F11" t="s">
        <v>25</v>
      </c>
      <c r="G11" t="s">
        <v>90</v>
      </c>
      <c r="H11" t="s">
        <v>91</v>
      </c>
      <c r="I11" t="s">
        <v>92</v>
      </c>
      <c r="J11" s="2">
        <v>45302</v>
      </c>
      <c r="K11" t="s">
        <v>93</v>
      </c>
      <c r="L11" t="s">
        <v>46</v>
      </c>
    </row>
    <row r="12" spans="1:12">
      <c r="A12" t="s">
        <v>94</v>
      </c>
      <c r="B12" t="s">
        <v>95</v>
      </c>
      <c r="C12" t="s">
        <v>96</v>
      </c>
      <c r="D12" t="str">
        <f>_xlfn.CONCAT(tblEmployees[[#This Row],[First_Name]]," ",tblEmployees[[#This Row],[Last_Name]])</f>
        <v>Vikas More</v>
      </c>
      <c r="E12" t="s">
        <v>14</v>
      </c>
      <c r="F12" t="s">
        <v>33</v>
      </c>
      <c r="G12" t="s">
        <v>97</v>
      </c>
      <c r="H12" t="s">
        <v>98</v>
      </c>
      <c r="I12" t="s">
        <v>99</v>
      </c>
      <c r="J12" s="2">
        <v>45303</v>
      </c>
      <c r="K12" t="s">
        <v>19</v>
      </c>
      <c r="L12" t="s">
        <v>55</v>
      </c>
    </row>
    <row r="13" spans="1:12">
      <c r="A13" t="s">
        <v>100</v>
      </c>
      <c r="B13" t="s">
        <v>101</v>
      </c>
      <c r="C13" t="s">
        <v>102</v>
      </c>
      <c r="D13" t="str">
        <f>_xlfn.CONCAT(tblEmployees[[#This Row],[First_Name]]," ",tblEmployees[[#This Row],[Last_Name]])</f>
        <v>Meera Jadhav</v>
      </c>
      <c r="E13" t="s">
        <v>24</v>
      </c>
      <c r="F13" t="s">
        <v>41</v>
      </c>
      <c r="G13" t="s">
        <v>103</v>
      </c>
      <c r="H13" t="s">
        <v>104</v>
      </c>
      <c r="I13" t="s">
        <v>105</v>
      </c>
      <c r="J13" s="2">
        <v>45304</v>
      </c>
      <c r="K13" t="s">
        <v>29</v>
      </c>
      <c r="L13" t="s">
        <v>20</v>
      </c>
    </row>
    <row r="14" spans="1:12">
      <c r="A14" t="s">
        <v>106</v>
      </c>
      <c r="B14" t="s">
        <v>107</v>
      </c>
      <c r="C14" t="s">
        <v>108</v>
      </c>
      <c r="D14" t="str">
        <f>_xlfn.CONCAT(tblEmployees[[#This Row],[First_Name]]," ",tblEmployees[[#This Row],[Last_Name]])</f>
        <v>Sahil Patil</v>
      </c>
      <c r="E14" t="s">
        <v>14</v>
      </c>
      <c r="F14" t="s">
        <v>50</v>
      </c>
      <c r="G14" t="s">
        <v>109</v>
      </c>
      <c r="H14" t="s">
        <v>110</v>
      </c>
      <c r="I14" t="s">
        <v>111</v>
      </c>
      <c r="J14" s="2">
        <v>45305</v>
      </c>
      <c r="K14" t="s">
        <v>37</v>
      </c>
      <c r="L14" t="s">
        <v>20</v>
      </c>
    </row>
    <row r="15" spans="1:12">
      <c r="A15" t="s">
        <v>112</v>
      </c>
      <c r="B15" t="s">
        <v>113</v>
      </c>
      <c r="C15" t="s">
        <v>114</v>
      </c>
      <c r="D15" t="str">
        <f>_xlfn.CONCAT(tblEmployees[[#This Row],[First_Name]]," ",tblEmployees[[#This Row],[Last_Name]])</f>
        <v>Aisha Deshmukh</v>
      </c>
      <c r="E15" t="s">
        <v>24</v>
      </c>
      <c r="F15" t="s">
        <v>59</v>
      </c>
      <c r="G15" t="s">
        <v>115</v>
      </c>
      <c r="H15" t="s">
        <v>116</v>
      </c>
      <c r="I15" t="s">
        <v>117</v>
      </c>
      <c r="J15" s="2">
        <v>45306</v>
      </c>
      <c r="K15" t="s">
        <v>45</v>
      </c>
      <c r="L15" t="s">
        <v>20</v>
      </c>
    </row>
    <row r="16" spans="1:12">
      <c r="A16" t="s">
        <v>118</v>
      </c>
      <c r="B16" t="s">
        <v>119</v>
      </c>
      <c r="C16" t="s">
        <v>120</v>
      </c>
      <c r="D16" t="str">
        <f>_xlfn.CONCAT(tblEmployees[[#This Row],[First_Name]]," ",tblEmployees[[#This Row],[Last_Name]])</f>
        <v>Riya Shinde</v>
      </c>
      <c r="E16" t="s">
        <v>14</v>
      </c>
      <c r="F16" t="s">
        <v>67</v>
      </c>
      <c r="G16" t="s">
        <v>121</v>
      </c>
      <c r="H16" t="s">
        <v>122</v>
      </c>
      <c r="I16" t="s">
        <v>123</v>
      </c>
      <c r="J16" s="2">
        <v>45307</v>
      </c>
      <c r="K16" t="s">
        <v>54</v>
      </c>
      <c r="L16" t="s">
        <v>20</v>
      </c>
    </row>
    <row r="17" spans="1:12">
      <c r="A17" t="s">
        <v>124</v>
      </c>
      <c r="B17" t="s">
        <v>125</v>
      </c>
      <c r="C17" t="s">
        <v>126</v>
      </c>
      <c r="D17" t="str">
        <f>_xlfn.CONCAT(tblEmployees[[#This Row],[First_Name]]," ",tblEmployees[[#This Row],[Last_Name]])</f>
        <v>Vivek Mane</v>
      </c>
      <c r="E17" t="s">
        <v>24</v>
      </c>
      <c r="F17" t="s">
        <v>75</v>
      </c>
      <c r="G17" t="s">
        <v>127</v>
      </c>
      <c r="H17" t="s">
        <v>128</v>
      </c>
      <c r="I17" t="s">
        <v>129</v>
      </c>
      <c r="J17" s="2">
        <v>45308</v>
      </c>
      <c r="K17" t="s">
        <v>63</v>
      </c>
      <c r="L17" t="s">
        <v>46</v>
      </c>
    </row>
    <row r="18" spans="1:12">
      <c r="A18" t="s">
        <v>130</v>
      </c>
      <c r="B18" t="s">
        <v>131</v>
      </c>
      <c r="C18" t="s">
        <v>132</v>
      </c>
      <c r="D18" t="str">
        <f>_xlfn.CONCAT(tblEmployees[[#This Row],[First_Name]]," ",tblEmployees[[#This Row],[Last_Name]])</f>
        <v>Aditya Chavan</v>
      </c>
      <c r="E18" t="s">
        <v>14</v>
      </c>
      <c r="F18" t="s">
        <v>15</v>
      </c>
      <c r="G18" t="s">
        <v>133</v>
      </c>
      <c r="H18" t="s">
        <v>134</v>
      </c>
      <c r="I18" t="s">
        <v>135</v>
      </c>
      <c r="J18" s="2">
        <v>45309</v>
      </c>
      <c r="K18" t="s">
        <v>71</v>
      </c>
      <c r="L18" t="s">
        <v>55</v>
      </c>
    </row>
    <row r="19" spans="1:12">
      <c r="A19" t="s">
        <v>136</v>
      </c>
      <c r="B19" t="s">
        <v>137</v>
      </c>
      <c r="C19" t="s">
        <v>138</v>
      </c>
      <c r="D19" t="str">
        <f>_xlfn.CONCAT(tblEmployees[[#This Row],[First_Name]]," ",tblEmployees[[#This Row],[Last_Name]])</f>
        <v>Nisha Ansari</v>
      </c>
      <c r="E19" t="s">
        <v>24</v>
      </c>
      <c r="F19" t="s">
        <v>25</v>
      </c>
      <c r="G19" t="s">
        <v>139</v>
      </c>
      <c r="H19" t="s">
        <v>140</v>
      </c>
      <c r="I19" t="s">
        <v>141</v>
      </c>
      <c r="J19" s="2">
        <v>45310</v>
      </c>
      <c r="K19" t="s">
        <v>79</v>
      </c>
      <c r="L19" t="s">
        <v>20</v>
      </c>
    </row>
    <row r="20" spans="1:12">
      <c r="A20" t="s">
        <v>142</v>
      </c>
      <c r="B20" t="s">
        <v>143</v>
      </c>
      <c r="C20" t="s">
        <v>144</v>
      </c>
      <c r="D20" t="str">
        <f>_xlfn.CONCAT(tblEmployees[[#This Row],[First_Name]]," ",tblEmployees[[#This Row],[Last_Name]])</f>
        <v>Deepak Rathod</v>
      </c>
      <c r="E20" t="s">
        <v>14</v>
      </c>
      <c r="F20" t="s">
        <v>33</v>
      </c>
      <c r="G20" t="s">
        <v>145</v>
      </c>
      <c r="H20" t="s">
        <v>146</v>
      </c>
      <c r="I20" t="s">
        <v>147</v>
      </c>
      <c r="J20" s="2">
        <v>45311</v>
      </c>
      <c r="K20" t="s">
        <v>86</v>
      </c>
      <c r="L20" t="s">
        <v>20</v>
      </c>
    </row>
    <row r="21" spans="1:12">
      <c r="A21" t="s">
        <v>148</v>
      </c>
      <c r="B21" t="s">
        <v>149</v>
      </c>
      <c r="C21" t="s">
        <v>150</v>
      </c>
      <c r="D21" t="str">
        <f>_xlfn.CONCAT(tblEmployees[[#This Row],[First_Name]]," ",tblEmployees[[#This Row],[Last_Name]])</f>
        <v>Komal Pawar</v>
      </c>
      <c r="E21" t="s">
        <v>24</v>
      </c>
      <c r="F21" t="s">
        <v>41</v>
      </c>
      <c r="G21" t="s">
        <v>151</v>
      </c>
      <c r="H21" t="s">
        <v>152</v>
      </c>
      <c r="I21" t="s">
        <v>153</v>
      </c>
      <c r="J21" s="2">
        <v>45312</v>
      </c>
      <c r="K21" t="s">
        <v>93</v>
      </c>
      <c r="L21" t="s">
        <v>20</v>
      </c>
    </row>
    <row r="22" spans="1:12">
      <c r="A22" t="s">
        <v>154</v>
      </c>
      <c r="B22" t="s">
        <v>155</v>
      </c>
      <c r="C22" t="s">
        <v>13</v>
      </c>
      <c r="D22" t="str">
        <f>_xlfn.CONCAT(tblEmployees[[#This Row],[First_Name]]," ",tblEmployees[[#This Row],[Last_Name]])</f>
        <v>Sameer Sharma</v>
      </c>
      <c r="E22" t="s">
        <v>14</v>
      </c>
      <c r="F22" t="s">
        <v>50</v>
      </c>
      <c r="G22" t="s">
        <v>156</v>
      </c>
      <c r="H22" t="s">
        <v>157</v>
      </c>
      <c r="I22" t="s">
        <v>158</v>
      </c>
      <c r="J22" s="2">
        <v>45313</v>
      </c>
      <c r="K22" t="s">
        <v>19</v>
      </c>
      <c r="L22" t="s">
        <v>20</v>
      </c>
    </row>
    <row r="23" spans="1:12">
      <c r="A23" t="s">
        <v>159</v>
      </c>
      <c r="B23" t="s">
        <v>160</v>
      </c>
      <c r="C23" t="s">
        <v>23</v>
      </c>
      <c r="D23" t="str">
        <f>_xlfn.CONCAT(tblEmployees[[#This Row],[First_Name]]," ",tblEmployees[[#This Row],[Last_Name]])</f>
        <v>Farhan Patel</v>
      </c>
      <c r="E23" t="s">
        <v>24</v>
      </c>
      <c r="F23" t="s">
        <v>59</v>
      </c>
      <c r="G23" t="s">
        <v>161</v>
      </c>
      <c r="H23" t="s">
        <v>162</v>
      </c>
      <c r="I23" t="s">
        <v>163</v>
      </c>
      <c r="J23" s="2">
        <v>45314</v>
      </c>
      <c r="K23" t="s">
        <v>29</v>
      </c>
      <c r="L23" t="s">
        <v>46</v>
      </c>
    </row>
    <row r="24" spans="1:12">
      <c r="A24" t="s">
        <v>164</v>
      </c>
      <c r="B24" t="s">
        <v>165</v>
      </c>
      <c r="C24" t="s">
        <v>32</v>
      </c>
      <c r="D24" t="str">
        <f>_xlfn.CONCAT(tblEmployees[[#This Row],[First_Name]]," ",tblEmployees[[#This Row],[Last_Name]])</f>
        <v>Isha Gupta</v>
      </c>
      <c r="E24" t="s">
        <v>14</v>
      </c>
      <c r="F24" t="s">
        <v>67</v>
      </c>
      <c r="G24" t="s">
        <v>166</v>
      </c>
      <c r="H24" t="s">
        <v>167</v>
      </c>
      <c r="I24" t="s">
        <v>168</v>
      </c>
      <c r="J24" s="2">
        <v>45315</v>
      </c>
      <c r="K24" t="s">
        <v>37</v>
      </c>
      <c r="L24" t="s">
        <v>55</v>
      </c>
    </row>
    <row r="25" spans="1:12">
      <c r="A25" t="s">
        <v>169</v>
      </c>
      <c r="B25" t="s">
        <v>170</v>
      </c>
      <c r="C25" t="s">
        <v>40</v>
      </c>
      <c r="D25" t="str">
        <f>_xlfn.CONCAT(tblEmployees[[#This Row],[First_Name]]," ",tblEmployees[[#This Row],[Last_Name]])</f>
        <v>Sonia Singh</v>
      </c>
      <c r="E25" t="s">
        <v>24</v>
      </c>
      <c r="F25" t="s">
        <v>75</v>
      </c>
      <c r="G25" t="s">
        <v>171</v>
      </c>
      <c r="H25" t="s">
        <v>172</v>
      </c>
      <c r="I25" t="s">
        <v>173</v>
      </c>
      <c r="J25" s="2">
        <v>45316</v>
      </c>
      <c r="K25" t="s">
        <v>45</v>
      </c>
      <c r="L25" t="s">
        <v>20</v>
      </c>
    </row>
    <row r="26" spans="1:12">
      <c r="A26" t="s">
        <v>174</v>
      </c>
      <c r="B26" t="s">
        <v>175</v>
      </c>
      <c r="C26" t="s">
        <v>49</v>
      </c>
      <c r="D26" t="str">
        <f>_xlfn.CONCAT(tblEmployees[[#This Row],[First_Name]]," ",tblEmployees[[#This Row],[Last_Name]])</f>
        <v>Akash Verma</v>
      </c>
      <c r="E26" t="s">
        <v>14</v>
      </c>
      <c r="F26" t="s">
        <v>15</v>
      </c>
      <c r="G26" t="s">
        <v>16</v>
      </c>
      <c r="H26" t="s">
        <v>176</v>
      </c>
      <c r="I26" t="s">
        <v>177</v>
      </c>
      <c r="J26" s="2">
        <v>45317</v>
      </c>
      <c r="K26" t="s">
        <v>54</v>
      </c>
      <c r="L26" t="s">
        <v>20</v>
      </c>
    </row>
    <row r="27" spans="1:12">
      <c r="A27" t="s">
        <v>178</v>
      </c>
      <c r="B27" t="s">
        <v>12</v>
      </c>
      <c r="C27" t="s">
        <v>58</v>
      </c>
      <c r="D27" t="str">
        <f>_xlfn.CONCAT(tblEmployees[[#This Row],[First_Name]]," ",tblEmployees[[#This Row],[Last_Name]])</f>
        <v>Rahul Joshi</v>
      </c>
      <c r="E27" t="s">
        <v>24</v>
      </c>
      <c r="F27" t="s">
        <v>25</v>
      </c>
      <c r="G27" t="s">
        <v>26</v>
      </c>
      <c r="H27" t="s">
        <v>179</v>
      </c>
      <c r="I27" t="s">
        <v>180</v>
      </c>
      <c r="J27" s="2">
        <v>45318</v>
      </c>
      <c r="K27" t="s">
        <v>63</v>
      </c>
      <c r="L27" t="s">
        <v>20</v>
      </c>
    </row>
    <row r="28" spans="1:12">
      <c r="A28" t="s">
        <v>181</v>
      </c>
      <c r="B28" t="s">
        <v>22</v>
      </c>
      <c r="C28" t="s">
        <v>66</v>
      </c>
      <c r="D28" t="str">
        <f>_xlfn.CONCAT(tblEmployees[[#This Row],[First_Name]]," ",tblEmployees[[#This Row],[Last_Name]])</f>
        <v>Priya Kulkarni</v>
      </c>
      <c r="E28" t="s">
        <v>14</v>
      </c>
      <c r="F28" t="s">
        <v>33</v>
      </c>
      <c r="G28" t="s">
        <v>34</v>
      </c>
      <c r="H28" t="s">
        <v>182</v>
      </c>
      <c r="I28" t="s">
        <v>183</v>
      </c>
      <c r="J28" s="2">
        <v>45319</v>
      </c>
      <c r="K28" t="s">
        <v>71</v>
      </c>
      <c r="L28" t="s">
        <v>20</v>
      </c>
    </row>
    <row r="29" spans="1:12">
      <c r="A29" t="s">
        <v>184</v>
      </c>
      <c r="B29" t="s">
        <v>31</v>
      </c>
      <c r="C29" t="s">
        <v>74</v>
      </c>
      <c r="D29" t="str">
        <f>_xlfn.CONCAT(tblEmployees[[#This Row],[First_Name]]," ",tblEmployees[[#This Row],[Last_Name]])</f>
        <v>Amit Shaikh</v>
      </c>
      <c r="E29" t="s">
        <v>24</v>
      </c>
      <c r="F29" t="s">
        <v>41</v>
      </c>
      <c r="G29" t="s">
        <v>42</v>
      </c>
      <c r="H29" t="s">
        <v>185</v>
      </c>
      <c r="I29" t="s">
        <v>186</v>
      </c>
      <c r="J29" s="2">
        <v>45320</v>
      </c>
      <c r="K29" t="s">
        <v>79</v>
      </c>
      <c r="L29" t="s">
        <v>46</v>
      </c>
    </row>
    <row r="30" spans="1:12">
      <c r="A30" t="s">
        <v>187</v>
      </c>
      <c r="B30" t="s">
        <v>39</v>
      </c>
      <c r="C30" t="s">
        <v>82</v>
      </c>
      <c r="D30" t="str">
        <f>_xlfn.CONCAT(tblEmployees[[#This Row],[First_Name]]," ",tblEmployees[[#This Row],[Last_Name]])</f>
        <v>Sneha Khan</v>
      </c>
      <c r="E30" t="s">
        <v>14</v>
      </c>
      <c r="F30" t="s">
        <v>50</v>
      </c>
      <c r="G30" t="s">
        <v>51</v>
      </c>
      <c r="H30" t="s">
        <v>188</v>
      </c>
      <c r="I30" t="s">
        <v>189</v>
      </c>
      <c r="J30" s="2">
        <v>45321</v>
      </c>
      <c r="K30" t="s">
        <v>86</v>
      </c>
      <c r="L30" t="s">
        <v>55</v>
      </c>
    </row>
    <row r="31" spans="1:12">
      <c r="A31" t="s">
        <v>190</v>
      </c>
      <c r="B31" t="s">
        <v>48</v>
      </c>
      <c r="C31" t="s">
        <v>89</v>
      </c>
      <c r="D31" t="str">
        <f>_xlfn.CONCAT(tblEmployees[[#This Row],[First_Name]]," ",tblEmployees[[#This Row],[Last_Name]])</f>
        <v>Rohan Yadav</v>
      </c>
      <c r="E31" t="s">
        <v>24</v>
      </c>
      <c r="F31" t="s">
        <v>59</v>
      </c>
      <c r="G31" t="s">
        <v>60</v>
      </c>
      <c r="H31" t="s">
        <v>191</v>
      </c>
      <c r="I31" t="s">
        <v>192</v>
      </c>
      <c r="J31" s="2">
        <v>45322</v>
      </c>
      <c r="K31" t="s">
        <v>93</v>
      </c>
      <c r="L31" t="s">
        <v>20</v>
      </c>
    </row>
    <row r="32" spans="1:12">
      <c r="A32" t="s">
        <v>193</v>
      </c>
      <c r="B32" t="s">
        <v>57</v>
      </c>
      <c r="C32" t="s">
        <v>96</v>
      </c>
      <c r="D32" t="str">
        <f>_xlfn.CONCAT(tblEmployees[[#This Row],[First_Name]]," ",tblEmployees[[#This Row],[Last_Name]])</f>
        <v>Pooja More</v>
      </c>
      <c r="E32" t="s">
        <v>14</v>
      </c>
      <c r="F32" t="s">
        <v>67</v>
      </c>
      <c r="G32" t="s">
        <v>68</v>
      </c>
      <c r="H32" t="s">
        <v>194</v>
      </c>
      <c r="I32" t="s">
        <v>195</v>
      </c>
      <c r="J32" s="2">
        <v>45323</v>
      </c>
      <c r="K32" t="s">
        <v>19</v>
      </c>
      <c r="L32" t="s">
        <v>20</v>
      </c>
    </row>
    <row r="33" spans="1:12">
      <c r="A33" t="s">
        <v>196</v>
      </c>
      <c r="B33" t="s">
        <v>65</v>
      </c>
      <c r="C33" t="s">
        <v>102</v>
      </c>
      <c r="D33" t="str">
        <f>_xlfn.CONCAT(tblEmployees[[#This Row],[First_Name]]," ",tblEmployees[[#This Row],[Last_Name]])</f>
        <v>Arjun Jadhav</v>
      </c>
      <c r="E33" t="s">
        <v>24</v>
      </c>
      <c r="F33" t="s">
        <v>75</v>
      </c>
      <c r="G33" t="s">
        <v>76</v>
      </c>
      <c r="H33" t="s">
        <v>197</v>
      </c>
      <c r="I33" t="s">
        <v>198</v>
      </c>
      <c r="J33" s="2">
        <v>45324</v>
      </c>
      <c r="K33" t="s">
        <v>29</v>
      </c>
      <c r="L33" t="s">
        <v>20</v>
      </c>
    </row>
    <row r="34" spans="1:12">
      <c r="A34" t="s">
        <v>199</v>
      </c>
      <c r="B34" t="s">
        <v>73</v>
      </c>
      <c r="C34" t="s">
        <v>108</v>
      </c>
      <c r="D34" t="str">
        <f>_xlfn.CONCAT(tblEmployees[[#This Row],[First_Name]]," ",tblEmployees[[#This Row],[Last_Name]])</f>
        <v>Neha Patil</v>
      </c>
      <c r="E34" t="s">
        <v>14</v>
      </c>
      <c r="F34" t="s">
        <v>15</v>
      </c>
      <c r="G34" t="s">
        <v>83</v>
      </c>
      <c r="H34" t="s">
        <v>200</v>
      </c>
      <c r="I34" t="s">
        <v>201</v>
      </c>
      <c r="J34" s="2">
        <v>45325</v>
      </c>
      <c r="K34" t="s">
        <v>37</v>
      </c>
      <c r="L34" t="s">
        <v>20</v>
      </c>
    </row>
    <row r="35" spans="1:12">
      <c r="A35" t="s">
        <v>202</v>
      </c>
      <c r="B35" t="s">
        <v>81</v>
      </c>
      <c r="C35" t="s">
        <v>114</v>
      </c>
      <c r="D35" t="str">
        <f>_xlfn.CONCAT(tblEmployees[[#This Row],[First_Name]]," ",tblEmployees[[#This Row],[Last_Name]])</f>
        <v>Karan Deshmukh</v>
      </c>
      <c r="E35" t="s">
        <v>24</v>
      </c>
      <c r="F35" t="s">
        <v>25</v>
      </c>
      <c r="G35" t="s">
        <v>90</v>
      </c>
      <c r="H35" t="s">
        <v>203</v>
      </c>
      <c r="I35" t="s">
        <v>204</v>
      </c>
      <c r="J35" s="2">
        <v>45326</v>
      </c>
      <c r="K35" t="s">
        <v>45</v>
      </c>
      <c r="L35" t="s">
        <v>46</v>
      </c>
    </row>
    <row r="36" spans="1:12">
      <c r="A36" t="s">
        <v>205</v>
      </c>
      <c r="B36" t="s">
        <v>88</v>
      </c>
      <c r="C36" t="s">
        <v>120</v>
      </c>
      <c r="D36" t="str">
        <f>_xlfn.CONCAT(tblEmployees[[#This Row],[First_Name]]," ",tblEmployees[[#This Row],[Last_Name]])</f>
        <v>Anjali Shinde</v>
      </c>
      <c r="E36" t="s">
        <v>14</v>
      </c>
      <c r="F36" t="s">
        <v>33</v>
      </c>
      <c r="G36" t="s">
        <v>97</v>
      </c>
      <c r="H36" t="s">
        <v>206</v>
      </c>
      <c r="I36" t="s">
        <v>207</v>
      </c>
      <c r="J36" s="2">
        <v>45327</v>
      </c>
      <c r="K36" t="s">
        <v>54</v>
      </c>
      <c r="L36" t="s">
        <v>55</v>
      </c>
    </row>
    <row r="37" spans="1:12">
      <c r="A37" t="s">
        <v>208</v>
      </c>
      <c r="B37" t="s">
        <v>95</v>
      </c>
      <c r="C37" t="s">
        <v>126</v>
      </c>
      <c r="D37" t="str">
        <f>_xlfn.CONCAT(tblEmployees[[#This Row],[First_Name]]," ",tblEmployees[[#This Row],[Last_Name]])</f>
        <v>Vikas Mane</v>
      </c>
      <c r="E37" t="s">
        <v>24</v>
      </c>
      <c r="F37" t="s">
        <v>41</v>
      </c>
      <c r="G37" t="s">
        <v>103</v>
      </c>
      <c r="H37" t="s">
        <v>209</v>
      </c>
      <c r="I37" t="s">
        <v>210</v>
      </c>
      <c r="J37" s="2">
        <v>45328</v>
      </c>
      <c r="K37" t="s">
        <v>63</v>
      </c>
      <c r="L37" t="s">
        <v>20</v>
      </c>
    </row>
    <row r="38" spans="1:12">
      <c r="A38" t="s">
        <v>211</v>
      </c>
      <c r="B38" t="s">
        <v>101</v>
      </c>
      <c r="C38" t="s">
        <v>132</v>
      </c>
      <c r="D38" t="str">
        <f>_xlfn.CONCAT(tblEmployees[[#This Row],[First_Name]]," ",tblEmployees[[#This Row],[Last_Name]])</f>
        <v>Meera Chavan</v>
      </c>
      <c r="E38" t="s">
        <v>14</v>
      </c>
      <c r="F38" t="s">
        <v>50</v>
      </c>
      <c r="G38" t="s">
        <v>109</v>
      </c>
      <c r="H38" t="s">
        <v>212</v>
      </c>
      <c r="I38" t="s">
        <v>213</v>
      </c>
      <c r="J38" s="2">
        <v>45329</v>
      </c>
      <c r="K38" t="s">
        <v>71</v>
      </c>
      <c r="L38" t="s">
        <v>20</v>
      </c>
    </row>
    <row r="39" spans="1:12">
      <c r="A39" t="s">
        <v>214</v>
      </c>
      <c r="B39" t="s">
        <v>107</v>
      </c>
      <c r="C39" t="s">
        <v>138</v>
      </c>
      <c r="D39" t="str">
        <f>_xlfn.CONCAT(tblEmployees[[#This Row],[First_Name]]," ",tblEmployees[[#This Row],[Last_Name]])</f>
        <v>Sahil Ansari</v>
      </c>
      <c r="E39" t="s">
        <v>24</v>
      </c>
      <c r="F39" t="s">
        <v>59</v>
      </c>
      <c r="G39" t="s">
        <v>115</v>
      </c>
      <c r="H39" t="s">
        <v>215</v>
      </c>
      <c r="I39" t="s">
        <v>216</v>
      </c>
      <c r="J39" s="2">
        <v>45330</v>
      </c>
      <c r="K39" t="s">
        <v>79</v>
      </c>
      <c r="L39" t="s">
        <v>20</v>
      </c>
    </row>
    <row r="40" spans="1:12">
      <c r="A40" t="s">
        <v>217</v>
      </c>
      <c r="B40" t="s">
        <v>113</v>
      </c>
      <c r="C40" t="s">
        <v>144</v>
      </c>
      <c r="D40" t="str">
        <f>_xlfn.CONCAT(tblEmployees[[#This Row],[First_Name]]," ",tblEmployees[[#This Row],[Last_Name]])</f>
        <v>Aisha Rathod</v>
      </c>
      <c r="E40" t="s">
        <v>14</v>
      </c>
      <c r="F40" t="s">
        <v>67</v>
      </c>
      <c r="G40" t="s">
        <v>121</v>
      </c>
      <c r="H40" t="s">
        <v>218</v>
      </c>
      <c r="I40" t="s">
        <v>219</v>
      </c>
      <c r="J40" s="2">
        <v>45331</v>
      </c>
      <c r="K40" t="s">
        <v>86</v>
      </c>
      <c r="L40" t="s">
        <v>20</v>
      </c>
    </row>
    <row r="41" spans="1:12">
      <c r="A41" t="s">
        <v>220</v>
      </c>
      <c r="B41" t="s">
        <v>119</v>
      </c>
      <c r="C41" t="s">
        <v>150</v>
      </c>
      <c r="D41" t="str">
        <f>_xlfn.CONCAT(tblEmployees[[#This Row],[First_Name]]," ",tblEmployees[[#This Row],[Last_Name]])</f>
        <v>Riya Pawar</v>
      </c>
      <c r="E41" t="s">
        <v>24</v>
      </c>
      <c r="F41" t="s">
        <v>75</v>
      </c>
      <c r="G41" t="s">
        <v>127</v>
      </c>
      <c r="H41" t="s">
        <v>221</v>
      </c>
      <c r="I41" t="s">
        <v>222</v>
      </c>
      <c r="J41" s="2">
        <v>45332</v>
      </c>
      <c r="K41" t="s">
        <v>93</v>
      </c>
      <c r="L41" t="s">
        <v>46</v>
      </c>
    </row>
    <row r="42" spans="1:12">
      <c r="A42" t="s">
        <v>223</v>
      </c>
      <c r="B42" t="s">
        <v>125</v>
      </c>
      <c r="C42" t="s">
        <v>13</v>
      </c>
      <c r="D42" t="str">
        <f>_xlfn.CONCAT(tblEmployees[[#This Row],[First_Name]]," ",tblEmployees[[#This Row],[Last_Name]])</f>
        <v>Vivek Sharma</v>
      </c>
      <c r="E42" t="s">
        <v>14</v>
      </c>
      <c r="F42" t="s">
        <v>15</v>
      </c>
      <c r="G42" t="s">
        <v>133</v>
      </c>
      <c r="H42" t="s">
        <v>224</v>
      </c>
      <c r="I42" t="s">
        <v>225</v>
      </c>
      <c r="J42" s="2">
        <v>45333</v>
      </c>
      <c r="K42" t="s">
        <v>19</v>
      </c>
      <c r="L42" t="s">
        <v>55</v>
      </c>
    </row>
    <row r="43" spans="1:12">
      <c r="A43" t="s">
        <v>226</v>
      </c>
      <c r="B43" t="s">
        <v>131</v>
      </c>
      <c r="C43" t="s">
        <v>23</v>
      </c>
      <c r="D43" t="str">
        <f>_xlfn.CONCAT(tblEmployees[[#This Row],[First_Name]]," ",tblEmployees[[#This Row],[Last_Name]])</f>
        <v>Aditya Patel</v>
      </c>
      <c r="E43" t="s">
        <v>24</v>
      </c>
      <c r="F43" t="s">
        <v>25</v>
      </c>
      <c r="G43" t="s">
        <v>139</v>
      </c>
      <c r="H43" t="s">
        <v>227</v>
      </c>
      <c r="I43" t="s">
        <v>228</v>
      </c>
      <c r="J43" s="2">
        <v>45334</v>
      </c>
      <c r="K43" t="s">
        <v>29</v>
      </c>
      <c r="L43" t="s">
        <v>20</v>
      </c>
    </row>
    <row r="44" spans="1:12">
      <c r="A44" t="s">
        <v>229</v>
      </c>
      <c r="B44" t="s">
        <v>137</v>
      </c>
      <c r="C44" t="s">
        <v>32</v>
      </c>
      <c r="D44" t="str">
        <f>_xlfn.CONCAT(tblEmployees[[#This Row],[First_Name]]," ",tblEmployees[[#This Row],[Last_Name]])</f>
        <v>Nisha Gupta</v>
      </c>
      <c r="E44" t="s">
        <v>14</v>
      </c>
      <c r="F44" t="s">
        <v>33</v>
      </c>
      <c r="G44" t="s">
        <v>145</v>
      </c>
      <c r="H44" t="s">
        <v>230</v>
      </c>
      <c r="I44" t="s">
        <v>231</v>
      </c>
      <c r="J44" s="2">
        <v>45335</v>
      </c>
      <c r="K44" t="s">
        <v>37</v>
      </c>
      <c r="L44" t="s">
        <v>20</v>
      </c>
    </row>
    <row r="45" spans="1:12">
      <c r="A45" t="s">
        <v>232</v>
      </c>
      <c r="B45" t="s">
        <v>143</v>
      </c>
      <c r="C45" t="s">
        <v>40</v>
      </c>
      <c r="D45" t="str">
        <f>_xlfn.CONCAT(tblEmployees[[#This Row],[First_Name]]," ",tblEmployees[[#This Row],[Last_Name]])</f>
        <v>Deepak Singh</v>
      </c>
      <c r="E45" t="s">
        <v>24</v>
      </c>
      <c r="F45" t="s">
        <v>41</v>
      </c>
      <c r="G45" t="s">
        <v>151</v>
      </c>
      <c r="H45" t="s">
        <v>233</v>
      </c>
      <c r="I45" t="s">
        <v>234</v>
      </c>
      <c r="J45" s="2">
        <v>45336</v>
      </c>
      <c r="K45" t="s">
        <v>45</v>
      </c>
      <c r="L45" t="s">
        <v>20</v>
      </c>
    </row>
    <row r="46" spans="1:12">
      <c r="A46" t="s">
        <v>235</v>
      </c>
      <c r="B46" t="s">
        <v>149</v>
      </c>
      <c r="C46" t="s">
        <v>49</v>
      </c>
      <c r="D46" t="str">
        <f>_xlfn.CONCAT(tblEmployees[[#This Row],[First_Name]]," ",tblEmployees[[#This Row],[Last_Name]])</f>
        <v>Komal Verma</v>
      </c>
      <c r="E46" t="s">
        <v>14</v>
      </c>
      <c r="F46" t="s">
        <v>50</v>
      </c>
      <c r="G46" t="s">
        <v>156</v>
      </c>
      <c r="H46" t="s">
        <v>236</v>
      </c>
      <c r="I46" t="s">
        <v>237</v>
      </c>
      <c r="J46" s="2">
        <v>45337</v>
      </c>
      <c r="K46" t="s">
        <v>54</v>
      </c>
      <c r="L46" t="s">
        <v>20</v>
      </c>
    </row>
    <row r="47" spans="1:12">
      <c r="A47" t="s">
        <v>238</v>
      </c>
      <c r="B47" t="s">
        <v>155</v>
      </c>
      <c r="C47" t="s">
        <v>58</v>
      </c>
      <c r="D47" t="str">
        <f>_xlfn.CONCAT(tblEmployees[[#This Row],[First_Name]]," ",tblEmployees[[#This Row],[Last_Name]])</f>
        <v>Sameer Joshi</v>
      </c>
      <c r="E47" t="s">
        <v>24</v>
      </c>
      <c r="F47" t="s">
        <v>59</v>
      </c>
      <c r="G47" t="s">
        <v>161</v>
      </c>
      <c r="H47" t="s">
        <v>239</v>
      </c>
      <c r="I47" t="s">
        <v>240</v>
      </c>
      <c r="J47" s="2">
        <v>45338</v>
      </c>
      <c r="K47" t="s">
        <v>63</v>
      </c>
      <c r="L47" t="s">
        <v>46</v>
      </c>
    </row>
    <row r="48" spans="1:12">
      <c r="A48" t="s">
        <v>241</v>
      </c>
      <c r="B48" t="s">
        <v>160</v>
      </c>
      <c r="C48" t="s">
        <v>66</v>
      </c>
      <c r="D48" t="str">
        <f>_xlfn.CONCAT(tblEmployees[[#This Row],[First_Name]]," ",tblEmployees[[#This Row],[Last_Name]])</f>
        <v>Farhan Kulkarni</v>
      </c>
      <c r="E48" t="s">
        <v>14</v>
      </c>
      <c r="F48" t="s">
        <v>67</v>
      </c>
      <c r="G48" t="s">
        <v>166</v>
      </c>
      <c r="H48" t="s">
        <v>242</v>
      </c>
      <c r="I48" t="s">
        <v>243</v>
      </c>
      <c r="J48" s="2">
        <v>45339</v>
      </c>
      <c r="K48" t="s">
        <v>71</v>
      </c>
      <c r="L48" t="s">
        <v>55</v>
      </c>
    </row>
    <row r="49" spans="1:12">
      <c r="A49" t="s">
        <v>244</v>
      </c>
      <c r="B49" t="s">
        <v>165</v>
      </c>
      <c r="C49" t="s">
        <v>74</v>
      </c>
      <c r="D49" t="str">
        <f>_xlfn.CONCAT(tblEmployees[[#This Row],[First_Name]]," ",tblEmployees[[#This Row],[Last_Name]])</f>
        <v>Isha Shaikh</v>
      </c>
      <c r="E49" t="s">
        <v>24</v>
      </c>
      <c r="F49" t="s">
        <v>75</v>
      </c>
      <c r="G49" t="s">
        <v>171</v>
      </c>
      <c r="H49" t="s">
        <v>245</v>
      </c>
      <c r="I49" t="s">
        <v>246</v>
      </c>
      <c r="J49" s="2">
        <v>45340</v>
      </c>
      <c r="K49" t="s">
        <v>79</v>
      </c>
      <c r="L49" t="s">
        <v>20</v>
      </c>
    </row>
    <row r="50" spans="1:12">
      <c r="A50" t="s">
        <v>247</v>
      </c>
      <c r="B50" t="s">
        <v>170</v>
      </c>
      <c r="C50" t="s">
        <v>82</v>
      </c>
      <c r="D50" t="str">
        <f>_xlfn.CONCAT(tblEmployees[[#This Row],[First_Name]]," ",tblEmployees[[#This Row],[Last_Name]])</f>
        <v>Sonia Khan</v>
      </c>
      <c r="E50" t="s">
        <v>14</v>
      </c>
      <c r="F50" t="s">
        <v>15</v>
      </c>
      <c r="G50" t="s">
        <v>16</v>
      </c>
      <c r="H50" t="s">
        <v>248</v>
      </c>
      <c r="I50" t="s">
        <v>249</v>
      </c>
      <c r="J50" s="2">
        <v>45341</v>
      </c>
      <c r="K50" t="s">
        <v>86</v>
      </c>
      <c r="L50" t="s">
        <v>20</v>
      </c>
    </row>
    <row r="51" spans="1:12">
      <c r="A51" t="s">
        <v>250</v>
      </c>
      <c r="B51" t="s">
        <v>175</v>
      </c>
      <c r="C51" t="s">
        <v>89</v>
      </c>
      <c r="D51" t="str">
        <f>_xlfn.CONCAT(tblEmployees[[#This Row],[First_Name]]," ",tblEmployees[[#This Row],[Last_Name]])</f>
        <v>Akash Yadav</v>
      </c>
      <c r="E51" t="s">
        <v>24</v>
      </c>
      <c r="F51" t="s">
        <v>25</v>
      </c>
      <c r="G51" t="s">
        <v>26</v>
      </c>
      <c r="H51" t="s">
        <v>251</v>
      </c>
      <c r="I51" t="s">
        <v>252</v>
      </c>
      <c r="J51" s="2">
        <v>45342</v>
      </c>
      <c r="K51" t="s">
        <v>93</v>
      </c>
      <c r="L51" t="s">
        <v>20</v>
      </c>
    </row>
    <row r="52" spans="1:12">
      <c r="A52" t="s">
        <v>253</v>
      </c>
      <c r="B52" t="s">
        <v>12</v>
      </c>
      <c r="C52" t="s">
        <v>96</v>
      </c>
      <c r="D52" t="str">
        <f>_xlfn.CONCAT(tblEmployees[[#This Row],[First_Name]]," ",tblEmployees[[#This Row],[Last_Name]])</f>
        <v>Rahul More</v>
      </c>
      <c r="E52" t="s">
        <v>14</v>
      </c>
      <c r="F52" t="s">
        <v>33</v>
      </c>
      <c r="G52" t="s">
        <v>34</v>
      </c>
      <c r="H52" t="s">
        <v>254</v>
      </c>
      <c r="I52" t="s">
        <v>255</v>
      </c>
      <c r="J52" s="2">
        <v>45343</v>
      </c>
      <c r="K52" t="s">
        <v>19</v>
      </c>
      <c r="L52" t="s">
        <v>20</v>
      </c>
    </row>
    <row r="53" spans="1:12">
      <c r="A53" t="s">
        <v>256</v>
      </c>
      <c r="B53" t="s">
        <v>22</v>
      </c>
      <c r="C53" t="s">
        <v>102</v>
      </c>
      <c r="D53" t="str">
        <f>_xlfn.CONCAT(tblEmployees[[#This Row],[First_Name]]," ",tblEmployees[[#This Row],[Last_Name]])</f>
        <v>Priya Jadhav</v>
      </c>
      <c r="E53" t="s">
        <v>24</v>
      </c>
      <c r="F53" t="s">
        <v>41</v>
      </c>
      <c r="G53" t="s">
        <v>42</v>
      </c>
      <c r="H53" t="s">
        <v>257</v>
      </c>
      <c r="I53" t="s">
        <v>258</v>
      </c>
      <c r="J53" s="2">
        <v>45344</v>
      </c>
      <c r="K53" t="s">
        <v>29</v>
      </c>
      <c r="L53" t="s">
        <v>46</v>
      </c>
    </row>
    <row r="54" spans="1:12">
      <c r="A54" t="s">
        <v>259</v>
      </c>
      <c r="B54" t="s">
        <v>31</v>
      </c>
      <c r="C54" t="s">
        <v>108</v>
      </c>
      <c r="D54" t="str">
        <f>_xlfn.CONCAT(tblEmployees[[#This Row],[First_Name]]," ",tblEmployees[[#This Row],[Last_Name]])</f>
        <v>Amit Patil</v>
      </c>
      <c r="E54" t="s">
        <v>14</v>
      </c>
      <c r="F54" t="s">
        <v>50</v>
      </c>
      <c r="G54" t="s">
        <v>51</v>
      </c>
      <c r="H54" t="s">
        <v>260</v>
      </c>
      <c r="I54" t="s">
        <v>261</v>
      </c>
      <c r="J54" s="2">
        <v>45345</v>
      </c>
      <c r="K54" t="s">
        <v>37</v>
      </c>
      <c r="L54" t="s">
        <v>55</v>
      </c>
    </row>
    <row r="55" spans="1:12">
      <c r="A55" t="s">
        <v>262</v>
      </c>
      <c r="B55" t="s">
        <v>39</v>
      </c>
      <c r="C55" t="s">
        <v>114</v>
      </c>
      <c r="D55" t="str">
        <f>_xlfn.CONCAT(tblEmployees[[#This Row],[First_Name]]," ",tblEmployees[[#This Row],[Last_Name]])</f>
        <v>Sneha Deshmukh</v>
      </c>
      <c r="E55" t="s">
        <v>24</v>
      </c>
      <c r="F55" t="s">
        <v>59</v>
      </c>
      <c r="G55" t="s">
        <v>60</v>
      </c>
      <c r="H55" t="s">
        <v>263</v>
      </c>
      <c r="I55" t="s">
        <v>264</v>
      </c>
      <c r="J55" s="2">
        <v>45346</v>
      </c>
      <c r="K55" t="s">
        <v>45</v>
      </c>
      <c r="L55" t="s">
        <v>20</v>
      </c>
    </row>
    <row r="56" spans="1:12">
      <c r="A56" t="s">
        <v>265</v>
      </c>
      <c r="B56" t="s">
        <v>48</v>
      </c>
      <c r="C56" t="s">
        <v>120</v>
      </c>
      <c r="D56" t="str">
        <f>_xlfn.CONCAT(tblEmployees[[#This Row],[First_Name]]," ",tblEmployees[[#This Row],[Last_Name]])</f>
        <v>Rohan Shinde</v>
      </c>
      <c r="E56" t="s">
        <v>14</v>
      </c>
      <c r="F56" t="s">
        <v>67</v>
      </c>
      <c r="G56" t="s">
        <v>68</v>
      </c>
      <c r="H56" t="s">
        <v>266</v>
      </c>
      <c r="I56" t="s">
        <v>267</v>
      </c>
      <c r="J56" s="2">
        <v>45347</v>
      </c>
      <c r="K56" t="s">
        <v>54</v>
      </c>
      <c r="L56" t="s">
        <v>20</v>
      </c>
    </row>
    <row r="57" spans="1:12">
      <c r="A57" t="s">
        <v>268</v>
      </c>
      <c r="B57" t="s">
        <v>57</v>
      </c>
      <c r="C57" t="s">
        <v>126</v>
      </c>
      <c r="D57" t="str">
        <f>_xlfn.CONCAT(tblEmployees[[#This Row],[First_Name]]," ",tblEmployees[[#This Row],[Last_Name]])</f>
        <v>Pooja Mane</v>
      </c>
      <c r="E57" t="s">
        <v>24</v>
      </c>
      <c r="F57" t="s">
        <v>75</v>
      </c>
      <c r="G57" t="s">
        <v>76</v>
      </c>
      <c r="H57" t="s">
        <v>269</v>
      </c>
      <c r="I57" t="s">
        <v>270</v>
      </c>
      <c r="J57" s="2">
        <v>45348</v>
      </c>
      <c r="K57" t="s">
        <v>63</v>
      </c>
      <c r="L57" t="s">
        <v>20</v>
      </c>
    </row>
    <row r="58" spans="1:12">
      <c r="A58" t="s">
        <v>271</v>
      </c>
      <c r="B58" t="s">
        <v>65</v>
      </c>
      <c r="C58" t="s">
        <v>132</v>
      </c>
      <c r="D58" t="str">
        <f>_xlfn.CONCAT(tblEmployees[[#This Row],[First_Name]]," ",tblEmployees[[#This Row],[Last_Name]])</f>
        <v>Arjun Chavan</v>
      </c>
      <c r="E58" t="s">
        <v>14</v>
      </c>
      <c r="F58" t="s">
        <v>15</v>
      </c>
      <c r="G58" t="s">
        <v>83</v>
      </c>
      <c r="H58" t="s">
        <v>272</v>
      </c>
      <c r="I58" t="s">
        <v>273</v>
      </c>
      <c r="J58" s="2">
        <v>45349</v>
      </c>
      <c r="K58" t="s">
        <v>71</v>
      </c>
      <c r="L58" t="s">
        <v>20</v>
      </c>
    </row>
    <row r="59" spans="1:12">
      <c r="A59" t="s">
        <v>274</v>
      </c>
      <c r="B59" t="s">
        <v>73</v>
      </c>
      <c r="C59" t="s">
        <v>138</v>
      </c>
      <c r="D59" t="str">
        <f>_xlfn.CONCAT(tblEmployees[[#This Row],[First_Name]]," ",tblEmployees[[#This Row],[Last_Name]])</f>
        <v>Neha Ansari</v>
      </c>
      <c r="E59" t="s">
        <v>24</v>
      </c>
      <c r="F59" t="s">
        <v>25</v>
      </c>
      <c r="G59" t="s">
        <v>90</v>
      </c>
      <c r="H59" t="s">
        <v>275</v>
      </c>
      <c r="I59" t="s">
        <v>276</v>
      </c>
      <c r="J59" s="2">
        <v>45350</v>
      </c>
      <c r="K59" t="s">
        <v>79</v>
      </c>
      <c r="L59" t="s">
        <v>46</v>
      </c>
    </row>
    <row r="60" spans="1:12">
      <c r="A60" t="s">
        <v>277</v>
      </c>
      <c r="B60" t="s">
        <v>81</v>
      </c>
      <c r="C60" t="s">
        <v>144</v>
      </c>
      <c r="D60" t="str">
        <f>_xlfn.CONCAT(tblEmployees[[#This Row],[First_Name]]," ",tblEmployees[[#This Row],[Last_Name]])</f>
        <v>Karan Rathod</v>
      </c>
      <c r="E60" t="s">
        <v>14</v>
      </c>
      <c r="F60" t="s">
        <v>33</v>
      </c>
      <c r="G60" t="s">
        <v>97</v>
      </c>
      <c r="H60" t="s">
        <v>278</v>
      </c>
      <c r="I60" t="s">
        <v>279</v>
      </c>
      <c r="J60" s="2">
        <v>45351</v>
      </c>
      <c r="K60" t="s">
        <v>86</v>
      </c>
      <c r="L60" t="s">
        <v>55</v>
      </c>
    </row>
    <row r="61" spans="1:12">
      <c r="A61" t="s">
        <v>280</v>
      </c>
      <c r="B61" t="s">
        <v>88</v>
      </c>
      <c r="C61" t="s">
        <v>150</v>
      </c>
      <c r="D61" t="str">
        <f>_xlfn.CONCAT(tblEmployees[[#This Row],[First_Name]]," ",tblEmployees[[#This Row],[Last_Name]])</f>
        <v>Anjali Pawar</v>
      </c>
      <c r="E61" t="s">
        <v>24</v>
      </c>
      <c r="F61" t="s">
        <v>41</v>
      </c>
      <c r="G61" t="s">
        <v>103</v>
      </c>
      <c r="H61" t="s">
        <v>281</v>
      </c>
      <c r="I61" t="s">
        <v>282</v>
      </c>
      <c r="J61" s="2">
        <v>45352</v>
      </c>
      <c r="K61" t="s">
        <v>93</v>
      </c>
      <c r="L61" t="s">
        <v>20</v>
      </c>
    </row>
    <row r="62" spans="1:12">
      <c r="A62" t="s">
        <v>283</v>
      </c>
      <c r="B62" t="s">
        <v>95</v>
      </c>
      <c r="C62" t="s">
        <v>13</v>
      </c>
      <c r="D62" t="str">
        <f>_xlfn.CONCAT(tblEmployees[[#This Row],[First_Name]]," ",tblEmployees[[#This Row],[Last_Name]])</f>
        <v>Vikas Sharma</v>
      </c>
      <c r="E62" t="s">
        <v>14</v>
      </c>
      <c r="F62" t="s">
        <v>50</v>
      </c>
      <c r="G62" t="s">
        <v>109</v>
      </c>
      <c r="H62" t="s">
        <v>284</v>
      </c>
      <c r="I62" t="s">
        <v>285</v>
      </c>
      <c r="J62" s="2">
        <v>45353</v>
      </c>
      <c r="K62" t="s">
        <v>19</v>
      </c>
      <c r="L62" t="s">
        <v>20</v>
      </c>
    </row>
    <row r="63" spans="1:12">
      <c r="A63" t="s">
        <v>286</v>
      </c>
      <c r="B63" t="s">
        <v>101</v>
      </c>
      <c r="C63" t="s">
        <v>23</v>
      </c>
      <c r="D63" t="str">
        <f>_xlfn.CONCAT(tblEmployees[[#This Row],[First_Name]]," ",tblEmployees[[#This Row],[Last_Name]])</f>
        <v>Meera Patel</v>
      </c>
      <c r="E63" t="s">
        <v>24</v>
      </c>
      <c r="F63" t="s">
        <v>59</v>
      </c>
      <c r="G63" t="s">
        <v>115</v>
      </c>
      <c r="H63" t="s">
        <v>287</v>
      </c>
      <c r="I63" t="s">
        <v>288</v>
      </c>
      <c r="J63" s="2">
        <v>45354</v>
      </c>
      <c r="K63" t="s">
        <v>29</v>
      </c>
      <c r="L63" t="s">
        <v>20</v>
      </c>
    </row>
    <row r="64" spans="1:12">
      <c r="A64" t="s">
        <v>289</v>
      </c>
      <c r="B64" t="s">
        <v>107</v>
      </c>
      <c r="C64" t="s">
        <v>32</v>
      </c>
      <c r="D64" t="str">
        <f>_xlfn.CONCAT(tblEmployees[[#This Row],[First_Name]]," ",tblEmployees[[#This Row],[Last_Name]])</f>
        <v>Sahil Gupta</v>
      </c>
      <c r="E64" t="s">
        <v>14</v>
      </c>
      <c r="F64" t="s">
        <v>67</v>
      </c>
      <c r="G64" t="s">
        <v>121</v>
      </c>
      <c r="H64" t="s">
        <v>290</v>
      </c>
      <c r="I64" t="s">
        <v>291</v>
      </c>
      <c r="J64" s="2">
        <v>45355</v>
      </c>
      <c r="K64" t="s">
        <v>37</v>
      </c>
      <c r="L64" t="s">
        <v>20</v>
      </c>
    </row>
    <row r="65" spans="1:12">
      <c r="A65" t="s">
        <v>292</v>
      </c>
      <c r="B65" t="s">
        <v>113</v>
      </c>
      <c r="C65" t="s">
        <v>40</v>
      </c>
      <c r="D65" t="str">
        <f>_xlfn.CONCAT(tblEmployees[[#This Row],[First_Name]]," ",tblEmployees[[#This Row],[Last_Name]])</f>
        <v>Aisha Singh</v>
      </c>
      <c r="E65" t="s">
        <v>24</v>
      </c>
      <c r="F65" t="s">
        <v>75</v>
      </c>
      <c r="G65" t="s">
        <v>127</v>
      </c>
      <c r="H65" t="s">
        <v>293</v>
      </c>
      <c r="I65" t="s">
        <v>294</v>
      </c>
      <c r="J65" s="2">
        <v>45356</v>
      </c>
      <c r="K65" t="s">
        <v>45</v>
      </c>
      <c r="L65" t="s">
        <v>46</v>
      </c>
    </row>
    <row r="66" spans="1:12">
      <c r="A66" t="s">
        <v>295</v>
      </c>
      <c r="B66" t="s">
        <v>119</v>
      </c>
      <c r="C66" t="s">
        <v>49</v>
      </c>
      <c r="D66" t="str">
        <f>_xlfn.CONCAT(tblEmployees[[#This Row],[First_Name]]," ",tblEmployees[[#This Row],[Last_Name]])</f>
        <v>Riya Verma</v>
      </c>
      <c r="E66" t="s">
        <v>14</v>
      </c>
      <c r="F66" t="s">
        <v>15</v>
      </c>
      <c r="G66" t="s">
        <v>133</v>
      </c>
      <c r="H66" t="s">
        <v>296</v>
      </c>
      <c r="I66" t="s">
        <v>297</v>
      </c>
      <c r="J66" s="2">
        <v>45357</v>
      </c>
      <c r="K66" t="s">
        <v>54</v>
      </c>
      <c r="L66" t="s">
        <v>55</v>
      </c>
    </row>
    <row r="67" spans="1:12">
      <c r="A67" t="s">
        <v>298</v>
      </c>
      <c r="B67" t="s">
        <v>125</v>
      </c>
      <c r="C67" t="s">
        <v>58</v>
      </c>
      <c r="D67" t="str">
        <f>_xlfn.CONCAT(tblEmployees[[#This Row],[First_Name]]," ",tblEmployees[[#This Row],[Last_Name]])</f>
        <v>Vivek Joshi</v>
      </c>
      <c r="E67" t="s">
        <v>24</v>
      </c>
      <c r="F67" t="s">
        <v>25</v>
      </c>
      <c r="G67" t="s">
        <v>139</v>
      </c>
      <c r="H67" t="s">
        <v>299</v>
      </c>
      <c r="I67" t="s">
        <v>300</v>
      </c>
      <c r="J67" s="2">
        <v>45358</v>
      </c>
      <c r="K67" t="s">
        <v>63</v>
      </c>
      <c r="L67" t="s">
        <v>20</v>
      </c>
    </row>
    <row r="68" spans="1:12">
      <c r="A68" t="s">
        <v>301</v>
      </c>
      <c r="B68" t="s">
        <v>131</v>
      </c>
      <c r="C68" t="s">
        <v>66</v>
      </c>
      <c r="D68" t="str">
        <f>_xlfn.CONCAT(tblEmployees[[#This Row],[First_Name]]," ",tblEmployees[[#This Row],[Last_Name]])</f>
        <v>Aditya Kulkarni</v>
      </c>
      <c r="E68" t="s">
        <v>14</v>
      </c>
      <c r="F68" t="s">
        <v>33</v>
      </c>
      <c r="G68" t="s">
        <v>145</v>
      </c>
      <c r="H68" t="s">
        <v>302</v>
      </c>
      <c r="I68" t="s">
        <v>303</v>
      </c>
      <c r="J68" s="2">
        <v>45359</v>
      </c>
      <c r="K68" t="s">
        <v>71</v>
      </c>
      <c r="L68" t="s">
        <v>20</v>
      </c>
    </row>
    <row r="69" spans="1:12">
      <c r="A69" t="s">
        <v>304</v>
      </c>
      <c r="B69" t="s">
        <v>137</v>
      </c>
      <c r="C69" t="s">
        <v>74</v>
      </c>
      <c r="D69" t="str">
        <f>_xlfn.CONCAT(tblEmployees[[#This Row],[First_Name]]," ",tblEmployees[[#This Row],[Last_Name]])</f>
        <v>Nisha Shaikh</v>
      </c>
      <c r="E69" t="s">
        <v>24</v>
      </c>
      <c r="F69" t="s">
        <v>41</v>
      </c>
      <c r="G69" t="s">
        <v>151</v>
      </c>
      <c r="H69" t="s">
        <v>305</v>
      </c>
      <c r="I69" t="s">
        <v>306</v>
      </c>
      <c r="J69" s="2">
        <v>45360</v>
      </c>
      <c r="K69" t="s">
        <v>79</v>
      </c>
      <c r="L69" t="s">
        <v>20</v>
      </c>
    </row>
    <row r="70" spans="1:12">
      <c r="A70" t="s">
        <v>307</v>
      </c>
      <c r="B70" t="s">
        <v>143</v>
      </c>
      <c r="C70" t="s">
        <v>82</v>
      </c>
      <c r="D70" t="str">
        <f>_xlfn.CONCAT(tblEmployees[[#This Row],[First_Name]]," ",tblEmployees[[#This Row],[Last_Name]])</f>
        <v>Deepak Khan</v>
      </c>
      <c r="E70" t="s">
        <v>14</v>
      </c>
      <c r="F70" t="s">
        <v>50</v>
      </c>
      <c r="G70" t="s">
        <v>156</v>
      </c>
      <c r="H70" t="s">
        <v>308</v>
      </c>
      <c r="I70" t="s">
        <v>309</v>
      </c>
      <c r="J70" s="2">
        <v>45361</v>
      </c>
      <c r="K70" t="s">
        <v>86</v>
      </c>
      <c r="L70" t="s">
        <v>20</v>
      </c>
    </row>
    <row r="71" spans="1:12">
      <c r="A71" t="s">
        <v>310</v>
      </c>
      <c r="B71" t="s">
        <v>149</v>
      </c>
      <c r="C71" t="s">
        <v>89</v>
      </c>
      <c r="D71" t="str">
        <f>_xlfn.CONCAT(tblEmployees[[#This Row],[First_Name]]," ",tblEmployees[[#This Row],[Last_Name]])</f>
        <v>Komal Yadav</v>
      </c>
      <c r="E71" t="s">
        <v>24</v>
      </c>
      <c r="F71" t="s">
        <v>59</v>
      </c>
      <c r="G71" t="s">
        <v>161</v>
      </c>
      <c r="H71" t="s">
        <v>311</v>
      </c>
      <c r="I71" t="s">
        <v>312</v>
      </c>
      <c r="J71" s="2">
        <v>45362</v>
      </c>
      <c r="K71" t="s">
        <v>93</v>
      </c>
      <c r="L71" t="s">
        <v>46</v>
      </c>
    </row>
    <row r="72" spans="1:12">
      <c r="A72" t="s">
        <v>313</v>
      </c>
      <c r="B72" t="s">
        <v>155</v>
      </c>
      <c r="C72" t="s">
        <v>96</v>
      </c>
      <c r="D72" t="str">
        <f>_xlfn.CONCAT(tblEmployees[[#This Row],[First_Name]]," ",tblEmployees[[#This Row],[Last_Name]])</f>
        <v>Sameer More</v>
      </c>
      <c r="E72" t="s">
        <v>14</v>
      </c>
      <c r="F72" t="s">
        <v>67</v>
      </c>
      <c r="G72" t="s">
        <v>166</v>
      </c>
      <c r="H72" t="s">
        <v>314</v>
      </c>
      <c r="I72" t="s">
        <v>315</v>
      </c>
      <c r="J72" s="2">
        <v>45363</v>
      </c>
      <c r="K72" t="s">
        <v>19</v>
      </c>
      <c r="L72" t="s">
        <v>55</v>
      </c>
    </row>
    <row r="73" spans="1:12">
      <c r="A73" t="s">
        <v>316</v>
      </c>
      <c r="B73" t="s">
        <v>160</v>
      </c>
      <c r="C73" t="s">
        <v>102</v>
      </c>
      <c r="D73" t="str">
        <f>_xlfn.CONCAT(tblEmployees[[#This Row],[First_Name]]," ",tblEmployees[[#This Row],[Last_Name]])</f>
        <v>Farhan Jadhav</v>
      </c>
      <c r="E73" t="s">
        <v>24</v>
      </c>
      <c r="F73" t="s">
        <v>75</v>
      </c>
      <c r="G73" t="s">
        <v>171</v>
      </c>
      <c r="H73" t="s">
        <v>317</v>
      </c>
      <c r="I73" t="s">
        <v>318</v>
      </c>
      <c r="J73" s="2">
        <v>45364</v>
      </c>
      <c r="K73" t="s">
        <v>29</v>
      </c>
      <c r="L73" t="s">
        <v>20</v>
      </c>
    </row>
    <row r="74" spans="1:12">
      <c r="A74" t="s">
        <v>319</v>
      </c>
      <c r="B74" t="s">
        <v>165</v>
      </c>
      <c r="C74" t="s">
        <v>108</v>
      </c>
      <c r="D74" t="str">
        <f>_xlfn.CONCAT(tblEmployees[[#This Row],[First_Name]]," ",tblEmployees[[#This Row],[Last_Name]])</f>
        <v>Isha Patil</v>
      </c>
      <c r="E74" t="s">
        <v>14</v>
      </c>
      <c r="F74" t="s">
        <v>15</v>
      </c>
      <c r="G74" t="s">
        <v>16</v>
      </c>
      <c r="H74" t="s">
        <v>320</v>
      </c>
      <c r="I74" t="s">
        <v>321</v>
      </c>
      <c r="J74" s="2">
        <v>45365</v>
      </c>
      <c r="K74" t="s">
        <v>37</v>
      </c>
      <c r="L74" t="s">
        <v>20</v>
      </c>
    </row>
    <row r="75" spans="1:12">
      <c r="A75" t="s">
        <v>322</v>
      </c>
      <c r="B75" t="s">
        <v>170</v>
      </c>
      <c r="C75" t="s">
        <v>114</v>
      </c>
      <c r="D75" t="str">
        <f>_xlfn.CONCAT(tblEmployees[[#This Row],[First_Name]]," ",tblEmployees[[#This Row],[Last_Name]])</f>
        <v>Sonia Deshmukh</v>
      </c>
      <c r="E75" t="s">
        <v>24</v>
      </c>
      <c r="F75" t="s">
        <v>25</v>
      </c>
      <c r="G75" t="s">
        <v>26</v>
      </c>
      <c r="H75" t="s">
        <v>323</v>
      </c>
      <c r="I75" t="s">
        <v>324</v>
      </c>
      <c r="J75" s="2">
        <v>45366</v>
      </c>
      <c r="K75" t="s">
        <v>45</v>
      </c>
      <c r="L75" t="s">
        <v>20</v>
      </c>
    </row>
    <row r="76" spans="1:12">
      <c r="A76" t="s">
        <v>325</v>
      </c>
      <c r="B76" t="s">
        <v>175</v>
      </c>
      <c r="C76" t="s">
        <v>120</v>
      </c>
      <c r="D76" t="str">
        <f>_xlfn.CONCAT(tblEmployees[[#This Row],[First_Name]]," ",tblEmployees[[#This Row],[Last_Name]])</f>
        <v>Akash Shinde</v>
      </c>
      <c r="E76" t="s">
        <v>14</v>
      </c>
      <c r="F76" t="s">
        <v>33</v>
      </c>
      <c r="G76" t="s">
        <v>34</v>
      </c>
      <c r="H76" t="s">
        <v>326</v>
      </c>
      <c r="I76" t="s">
        <v>327</v>
      </c>
      <c r="J76" s="2">
        <v>45367</v>
      </c>
      <c r="K76" t="s">
        <v>54</v>
      </c>
      <c r="L76" t="s">
        <v>20</v>
      </c>
    </row>
    <row r="77" spans="1:12">
      <c r="A77" t="s">
        <v>328</v>
      </c>
      <c r="B77" t="s">
        <v>12</v>
      </c>
      <c r="C77" t="s">
        <v>126</v>
      </c>
      <c r="D77" t="str">
        <f>_xlfn.CONCAT(tblEmployees[[#This Row],[First_Name]]," ",tblEmployees[[#This Row],[Last_Name]])</f>
        <v>Rahul Mane</v>
      </c>
      <c r="E77" t="s">
        <v>24</v>
      </c>
      <c r="F77" t="s">
        <v>41</v>
      </c>
      <c r="G77" t="s">
        <v>42</v>
      </c>
      <c r="H77" t="s">
        <v>329</v>
      </c>
      <c r="I77" t="s">
        <v>330</v>
      </c>
      <c r="J77" s="2">
        <v>45368</v>
      </c>
      <c r="K77" t="s">
        <v>63</v>
      </c>
      <c r="L77" t="s">
        <v>46</v>
      </c>
    </row>
    <row r="78" spans="1:12">
      <c r="A78" t="s">
        <v>331</v>
      </c>
      <c r="B78" t="s">
        <v>22</v>
      </c>
      <c r="C78" t="s">
        <v>132</v>
      </c>
      <c r="D78" t="str">
        <f>_xlfn.CONCAT(tblEmployees[[#This Row],[First_Name]]," ",tblEmployees[[#This Row],[Last_Name]])</f>
        <v>Priya Chavan</v>
      </c>
      <c r="E78" t="s">
        <v>14</v>
      </c>
      <c r="F78" t="s">
        <v>50</v>
      </c>
      <c r="G78" t="s">
        <v>51</v>
      </c>
      <c r="H78" t="s">
        <v>332</v>
      </c>
      <c r="I78" t="s">
        <v>333</v>
      </c>
      <c r="J78" s="2">
        <v>45369</v>
      </c>
      <c r="K78" t="s">
        <v>71</v>
      </c>
      <c r="L78" t="s">
        <v>55</v>
      </c>
    </row>
    <row r="79" spans="1:12">
      <c r="A79" t="s">
        <v>334</v>
      </c>
      <c r="B79" t="s">
        <v>31</v>
      </c>
      <c r="C79" t="s">
        <v>138</v>
      </c>
      <c r="D79" t="str">
        <f>_xlfn.CONCAT(tblEmployees[[#This Row],[First_Name]]," ",tblEmployees[[#This Row],[Last_Name]])</f>
        <v>Amit Ansari</v>
      </c>
      <c r="E79" t="s">
        <v>24</v>
      </c>
      <c r="F79" t="s">
        <v>59</v>
      </c>
      <c r="G79" t="s">
        <v>60</v>
      </c>
      <c r="H79" t="s">
        <v>335</v>
      </c>
      <c r="I79" t="s">
        <v>336</v>
      </c>
      <c r="J79" s="2">
        <v>45370</v>
      </c>
      <c r="K79" t="s">
        <v>79</v>
      </c>
      <c r="L79" t="s">
        <v>20</v>
      </c>
    </row>
    <row r="80" spans="1:12">
      <c r="A80" t="s">
        <v>337</v>
      </c>
      <c r="B80" t="s">
        <v>39</v>
      </c>
      <c r="C80" t="s">
        <v>144</v>
      </c>
      <c r="D80" t="str">
        <f>_xlfn.CONCAT(tblEmployees[[#This Row],[First_Name]]," ",tblEmployees[[#This Row],[Last_Name]])</f>
        <v>Sneha Rathod</v>
      </c>
      <c r="E80" t="s">
        <v>14</v>
      </c>
      <c r="F80" t="s">
        <v>67</v>
      </c>
      <c r="G80" t="s">
        <v>68</v>
      </c>
      <c r="H80" t="s">
        <v>338</v>
      </c>
      <c r="I80" t="s">
        <v>339</v>
      </c>
      <c r="J80" s="2">
        <v>45371</v>
      </c>
      <c r="K80" t="s">
        <v>86</v>
      </c>
      <c r="L80" t="s">
        <v>20</v>
      </c>
    </row>
    <row r="81" spans="1:12">
      <c r="A81" t="s">
        <v>340</v>
      </c>
      <c r="B81" t="s">
        <v>48</v>
      </c>
      <c r="C81" t="s">
        <v>150</v>
      </c>
      <c r="D81" t="str">
        <f>_xlfn.CONCAT(tblEmployees[[#This Row],[First_Name]]," ",tblEmployees[[#This Row],[Last_Name]])</f>
        <v>Rohan Pawar</v>
      </c>
      <c r="E81" t="s">
        <v>24</v>
      </c>
      <c r="F81" t="s">
        <v>75</v>
      </c>
      <c r="G81" t="s">
        <v>76</v>
      </c>
      <c r="H81" t="s">
        <v>341</v>
      </c>
      <c r="I81" t="s">
        <v>342</v>
      </c>
      <c r="J81" s="2">
        <v>45372</v>
      </c>
      <c r="K81" t="s">
        <v>93</v>
      </c>
      <c r="L81" t="s">
        <v>20</v>
      </c>
    </row>
    <row r="82" spans="1:12">
      <c r="A82" t="s">
        <v>343</v>
      </c>
      <c r="B82" t="s">
        <v>57</v>
      </c>
      <c r="C82" t="s">
        <v>13</v>
      </c>
      <c r="D82" t="str">
        <f>_xlfn.CONCAT(tblEmployees[[#This Row],[First_Name]]," ",tblEmployees[[#This Row],[Last_Name]])</f>
        <v>Pooja Sharma</v>
      </c>
      <c r="E82" t="s">
        <v>14</v>
      </c>
      <c r="F82" t="s">
        <v>15</v>
      </c>
      <c r="G82" t="s">
        <v>83</v>
      </c>
      <c r="H82" t="s">
        <v>344</v>
      </c>
      <c r="I82" t="s">
        <v>345</v>
      </c>
      <c r="J82" s="2">
        <v>45373</v>
      </c>
      <c r="K82" t="s">
        <v>19</v>
      </c>
      <c r="L82" t="s">
        <v>20</v>
      </c>
    </row>
    <row r="83" spans="1:12">
      <c r="A83" t="s">
        <v>346</v>
      </c>
      <c r="B83" t="s">
        <v>65</v>
      </c>
      <c r="C83" t="s">
        <v>23</v>
      </c>
      <c r="D83" t="str">
        <f>_xlfn.CONCAT(tblEmployees[[#This Row],[First_Name]]," ",tblEmployees[[#This Row],[Last_Name]])</f>
        <v>Arjun Patel</v>
      </c>
      <c r="E83" t="s">
        <v>24</v>
      </c>
      <c r="F83" t="s">
        <v>25</v>
      </c>
      <c r="G83" t="s">
        <v>90</v>
      </c>
      <c r="H83" t="s">
        <v>347</v>
      </c>
      <c r="I83" t="s">
        <v>348</v>
      </c>
      <c r="J83" s="2">
        <v>45374</v>
      </c>
      <c r="K83" t="s">
        <v>29</v>
      </c>
      <c r="L83" t="s">
        <v>46</v>
      </c>
    </row>
    <row r="84" spans="1:12">
      <c r="A84" t="s">
        <v>349</v>
      </c>
      <c r="B84" t="s">
        <v>73</v>
      </c>
      <c r="C84" t="s">
        <v>32</v>
      </c>
      <c r="D84" t="str">
        <f>_xlfn.CONCAT(tblEmployees[[#This Row],[First_Name]]," ",tblEmployees[[#This Row],[Last_Name]])</f>
        <v>Neha Gupta</v>
      </c>
      <c r="E84" t="s">
        <v>14</v>
      </c>
      <c r="F84" t="s">
        <v>33</v>
      </c>
      <c r="G84" t="s">
        <v>97</v>
      </c>
      <c r="H84" t="s">
        <v>350</v>
      </c>
      <c r="I84" t="s">
        <v>351</v>
      </c>
      <c r="J84" s="2">
        <v>45375</v>
      </c>
      <c r="K84" t="s">
        <v>37</v>
      </c>
      <c r="L84" t="s">
        <v>55</v>
      </c>
    </row>
    <row r="85" spans="1:12">
      <c r="A85" t="s">
        <v>352</v>
      </c>
      <c r="B85" t="s">
        <v>81</v>
      </c>
      <c r="C85" t="s">
        <v>40</v>
      </c>
      <c r="D85" t="str">
        <f>_xlfn.CONCAT(tblEmployees[[#This Row],[First_Name]]," ",tblEmployees[[#This Row],[Last_Name]])</f>
        <v>Karan Singh</v>
      </c>
      <c r="E85" t="s">
        <v>24</v>
      </c>
      <c r="F85" t="s">
        <v>41</v>
      </c>
      <c r="G85" t="s">
        <v>103</v>
      </c>
      <c r="H85" t="s">
        <v>353</v>
      </c>
      <c r="I85" t="s">
        <v>354</v>
      </c>
      <c r="J85" s="2">
        <v>45376</v>
      </c>
      <c r="K85" t="s">
        <v>45</v>
      </c>
      <c r="L85" t="s">
        <v>20</v>
      </c>
    </row>
    <row r="86" spans="1:12">
      <c r="A86" t="s">
        <v>355</v>
      </c>
      <c r="B86" t="s">
        <v>88</v>
      </c>
      <c r="C86" t="s">
        <v>49</v>
      </c>
      <c r="D86" t="str">
        <f>_xlfn.CONCAT(tblEmployees[[#This Row],[First_Name]]," ",tblEmployees[[#This Row],[Last_Name]])</f>
        <v>Anjali Verma</v>
      </c>
      <c r="E86" t="s">
        <v>14</v>
      </c>
      <c r="F86" t="s">
        <v>50</v>
      </c>
      <c r="G86" t="s">
        <v>109</v>
      </c>
      <c r="H86" t="s">
        <v>356</v>
      </c>
      <c r="I86" t="s">
        <v>357</v>
      </c>
      <c r="J86" s="2">
        <v>45377</v>
      </c>
      <c r="K86" t="s">
        <v>54</v>
      </c>
      <c r="L86" t="s">
        <v>20</v>
      </c>
    </row>
    <row r="87" spans="1:12">
      <c r="A87" t="s">
        <v>358</v>
      </c>
      <c r="B87" t="s">
        <v>95</v>
      </c>
      <c r="C87" t="s">
        <v>58</v>
      </c>
      <c r="D87" t="str">
        <f>_xlfn.CONCAT(tblEmployees[[#This Row],[First_Name]]," ",tblEmployees[[#This Row],[Last_Name]])</f>
        <v>Vikas Joshi</v>
      </c>
      <c r="E87" t="s">
        <v>24</v>
      </c>
      <c r="F87" t="s">
        <v>59</v>
      </c>
      <c r="G87" t="s">
        <v>115</v>
      </c>
      <c r="H87" t="s">
        <v>359</v>
      </c>
      <c r="I87" t="s">
        <v>360</v>
      </c>
      <c r="J87" s="2">
        <v>45378</v>
      </c>
      <c r="K87" t="s">
        <v>63</v>
      </c>
      <c r="L87" t="s">
        <v>20</v>
      </c>
    </row>
    <row r="88" spans="1:12">
      <c r="A88" t="s">
        <v>361</v>
      </c>
      <c r="B88" t="s">
        <v>101</v>
      </c>
      <c r="C88" t="s">
        <v>66</v>
      </c>
      <c r="D88" t="str">
        <f>_xlfn.CONCAT(tblEmployees[[#This Row],[First_Name]]," ",tblEmployees[[#This Row],[Last_Name]])</f>
        <v>Meera Kulkarni</v>
      </c>
      <c r="E88" t="s">
        <v>14</v>
      </c>
      <c r="F88" t="s">
        <v>67</v>
      </c>
      <c r="G88" t="s">
        <v>121</v>
      </c>
      <c r="H88" t="s">
        <v>362</v>
      </c>
      <c r="I88" t="s">
        <v>363</v>
      </c>
      <c r="J88" s="2">
        <v>45379</v>
      </c>
      <c r="K88" t="s">
        <v>71</v>
      </c>
      <c r="L88" t="s">
        <v>20</v>
      </c>
    </row>
    <row r="89" spans="1:12">
      <c r="A89" t="s">
        <v>364</v>
      </c>
      <c r="B89" t="s">
        <v>107</v>
      </c>
      <c r="C89" t="s">
        <v>74</v>
      </c>
      <c r="D89" t="str">
        <f>_xlfn.CONCAT(tblEmployees[[#This Row],[First_Name]]," ",tblEmployees[[#This Row],[Last_Name]])</f>
        <v>Sahil Shaikh</v>
      </c>
      <c r="E89" t="s">
        <v>24</v>
      </c>
      <c r="F89" t="s">
        <v>75</v>
      </c>
      <c r="G89" t="s">
        <v>127</v>
      </c>
      <c r="H89" t="s">
        <v>365</v>
      </c>
      <c r="I89" t="s">
        <v>366</v>
      </c>
      <c r="J89" s="2">
        <v>45380</v>
      </c>
      <c r="K89" t="s">
        <v>79</v>
      </c>
      <c r="L89" t="s">
        <v>46</v>
      </c>
    </row>
    <row r="90" spans="1:12">
      <c r="A90" t="s">
        <v>367</v>
      </c>
      <c r="B90" t="s">
        <v>113</v>
      </c>
      <c r="C90" t="s">
        <v>82</v>
      </c>
      <c r="D90" t="str">
        <f>_xlfn.CONCAT(tblEmployees[[#This Row],[First_Name]]," ",tblEmployees[[#This Row],[Last_Name]])</f>
        <v>Aisha Khan</v>
      </c>
      <c r="E90" t="s">
        <v>14</v>
      </c>
      <c r="F90" t="s">
        <v>15</v>
      </c>
      <c r="G90" t="s">
        <v>133</v>
      </c>
      <c r="H90" t="s">
        <v>368</v>
      </c>
      <c r="I90" t="s">
        <v>369</v>
      </c>
      <c r="J90" s="2">
        <v>45381</v>
      </c>
      <c r="K90" t="s">
        <v>86</v>
      </c>
      <c r="L90" t="s">
        <v>55</v>
      </c>
    </row>
    <row r="91" spans="1:12">
      <c r="A91" t="s">
        <v>370</v>
      </c>
      <c r="B91" t="s">
        <v>119</v>
      </c>
      <c r="C91" t="s">
        <v>89</v>
      </c>
      <c r="D91" t="str">
        <f>_xlfn.CONCAT(tblEmployees[[#This Row],[First_Name]]," ",tblEmployees[[#This Row],[Last_Name]])</f>
        <v>Riya Yadav</v>
      </c>
      <c r="E91" t="s">
        <v>24</v>
      </c>
      <c r="F91" t="s">
        <v>25</v>
      </c>
      <c r="G91" t="s">
        <v>139</v>
      </c>
      <c r="H91" t="s">
        <v>371</v>
      </c>
      <c r="I91" t="s">
        <v>372</v>
      </c>
      <c r="J91" s="2">
        <v>45382</v>
      </c>
      <c r="K91" t="s">
        <v>93</v>
      </c>
      <c r="L91" t="s">
        <v>20</v>
      </c>
    </row>
    <row r="92" spans="1:12">
      <c r="A92" t="s">
        <v>373</v>
      </c>
      <c r="B92" t="s">
        <v>125</v>
      </c>
      <c r="C92" t="s">
        <v>96</v>
      </c>
      <c r="D92" t="str">
        <f>_xlfn.CONCAT(tblEmployees[[#This Row],[First_Name]]," ",tblEmployees[[#This Row],[Last_Name]])</f>
        <v>Vivek More</v>
      </c>
      <c r="E92" t="s">
        <v>14</v>
      </c>
      <c r="F92" t="s">
        <v>33</v>
      </c>
      <c r="G92" t="s">
        <v>145</v>
      </c>
      <c r="H92" t="s">
        <v>374</v>
      </c>
      <c r="I92" t="s">
        <v>375</v>
      </c>
      <c r="J92" s="2">
        <v>45383</v>
      </c>
      <c r="K92" t="s">
        <v>19</v>
      </c>
      <c r="L92" t="s">
        <v>20</v>
      </c>
    </row>
    <row r="93" spans="1:12">
      <c r="A93" t="s">
        <v>376</v>
      </c>
      <c r="B93" t="s">
        <v>131</v>
      </c>
      <c r="C93" t="s">
        <v>102</v>
      </c>
      <c r="D93" t="str">
        <f>_xlfn.CONCAT(tblEmployees[[#This Row],[First_Name]]," ",tblEmployees[[#This Row],[Last_Name]])</f>
        <v>Aditya Jadhav</v>
      </c>
      <c r="E93" t="s">
        <v>24</v>
      </c>
      <c r="F93" t="s">
        <v>41</v>
      </c>
      <c r="G93" t="s">
        <v>151</v>
      </c>
      <c r="H93" t="s">
        <v>377</v>
      </c>
      <c r="I93" t="s">
        <v>378</v>
      </c>
      <c r="J93" s="2">
        <v>45384</v>
      </c>
      <c r="K93" t="s">
        <v>29</v>
      </c>
      <c r="L93" t="s">
        <v>20</v>
      </c>
    </row>
    <row r="94" spans="1:12">
      <c r="A94" t="s">
        <v>379</v>
      </c>
      <c r="B94" t="s">
        <v>137</v>
      </c>
      <c r="C94" t="s">
        <v>108</v>
      </c>
      <c r="D94" t="str">
        <f>_xlfn.CONCAT(tblEmployees[[#This Row],[First_Name]]," ",tblEmployees[[#This Row],[Last_Name]])</f>
        <v>Nisha Patil</v>
      </c>
      <c r="E94" t="s">
        <v>14</v>
      </c>
      <c r="F94" t="s">
        <v>50</v>
      </c>
      <c r="G94" t="s">
        <v>156</v>
      </c>
      <c r="H94" t="s">
        <v>380</v>
      </c>
      <c r="I94" t="s">
        <v>381</v>
      </c>
      <c r="J94" s="2">
        <v>45385</v>
      </c>
      <c r="K94" t="s">
        <v>37</v>
      </c>
      <c r="L94" t="s">
        <v>20</v>
      </c>
    </row>
    <row r="95" spans="1:12">
      <c r="A95" t="s">
        <v>382</v>
      </c>
      <c r="B95" t="s">
        <v>143</v>
      </c>
      <c r="C95" t="s">
        <v>114</v>
      </c>
      <c r="D95" t="str">
        <f>_xlfn.CONCAT(tblEmployees[[#This Row],[First_Name]]," ",tblEmployees[[#This Row],[Last_Name]])</f>
        <v>Deepak Deshmukh</v>
      </c>
      <c r="E95" t="s">
        <v>24</v>
      </c>
      <c r="F95" t="s">
        <v>59</v>
      </c>
      <c r="G95" t="s">
        <v>161</v>
      </c>
      <c r="H95" t="s">
        <v>383</v>
      </c>
      <c r="I95" t="s">
        <v>384</v>
      </c>
      <c r="J95" s="2">
        <v>45386</v>
      </c>
      <c r="K95" t="s">
        <v>45</v>
      </c>
      <c r="L95" t="s">
        <v>46</v>
      </c>
    </row>
    <row r="96" spans="1:12">
      <c r="A96" t="s">
        <v>385</v>
      </c>
      <c r="B96" t="s">
        <v>149</v>
      </c>
      <c r="C96" t="s">
        <v>120</v>
      </c>
      <c r="D96" t="str">
        <f>_xlfn.CONCAT(tblEmployees[[#This Row],[First_Name]]," ",tblEmployees[[#This Row],[Last_Name]])</f>
        <v>Komal Shinde</v>
      </c>
      <c r="E96" t="s">
        <v>14</v>
      </c>
      <c r="F96" t="s">
        <v>67</v>
      </c>
      <c r="G96" t="s">
        <v>166</v>
      </c>
      <c r="H96" t="s">
        <v>386</v>
      </c>
      <c r="I96" t="s">
        <v>387</v>
      </c>
      <c r="J96" s="2">
        <v>45387</v>
      </c>
      <c r="K96" t="s">
        <v>54</v>
      </c>
      <c r="L96" t="s">
        <v>55</v>
      </c>
    </row>
    <row r="97" spans="1:12">
      <c r="A97" t="s">
        <v>388</v>
      </c>
      <c r="B97" t="s">
        <v>155</v>
      </c>
      <c r="C97" t="s">
        <v>126</v>
      </c>
      <c r="D97" t="str">
        <f>_xlfn.CONCAT(tblEmployees[[#This Row],[First_Name]]," ",tblEmployees[[#This Row],[Last_Name]])</f>
        <v>Sameer Mane</v>
      </c>
      <c r="E97" t="s">
        <v>24</v>
      </c>
      <c r="F97" t="s">
        <v>75</v>
      </c>
      <c r="G97" t="s">
        <v>171</v>
      </c>
      <c r="H97" t="s">
        <v>389</v>
      </c>
      <c r="I97" t="s">
        <v>390</v>
      </c>
      <c r="J97" s="2">
        <v>45388</v>
      </c>
      <c r="K97" t="s">
        <v>63</v>
      </c>
      <c r="L97" t="s">
        <v>20</v>
      </c>
    </row>
    <row r="98" spans="1:12">
      <c r="A98" t="s">
        <v>391</v>
      </c>
      <c r="B98" t="s">
        <v>160</v>
      </c>
      <c r="C98" t="s">
        <v>132</v>
      </c>
      <c r="D98" t="str">
        <f>_xlfn.CONCAT(tblEmployees[[#This Row],[First_Name]]," ",tblEmployees[[#This Row],[Last_Name]])</f>
        <v>Farhan Chavan</v>
      </c>
      <c r="E98" t="s">
        <v>14</v>
      </c>
      <c r="F98" t="s">
        <v>15</v>
      </c>
      <c r="G98" t="s">
        <v>16</v>
      </c>
      <c r="H98" t="s">
        <v>392</v>
      </c>
      <c r="I98" t="s">
        <v>393</v>
      </c>
      <c r="J98" s="2">
        <v>45389</v>
      </c>
      <c r="K98" t="s">
        <v>71</v>
      </c>
      <c r="L98" t="s">
        <v>20</v>
      </c>
    </row>
    <row r="99" spans="1:12">
      <c r="A99" t="s">
        <v>394</v>
      </c>
      <c r="B99" t="s">
        <v>165</v>
      </c>
      <c r="C99" t="s">
        <v>138</v>
      </c>
      <c r="D99" t="str">
        <f>_xlfn.CONCAT(tblEmployees[[#This Row],[First_Name]]," ",tblEmployees[[#This Row],[Last_Name]])</f>
        <v>Isha Ansari</v>
      </c>
      <c r="E99" t="s">
        <v>24</v>
      </c>
      <c r="F99" t="s">
        <v>25</v>
      </c>
      <c r="G99" t="s">
        <v>26</v>
      </c>
      <c r="H99" t="s">
        <v>395</v>
      </c>
      <c r="I99" t="s">
        <v>396</v>
      </c>
      <c r="J99" s="2">
        <v>45390</v>
      </c>
      <c r="K99" t="s">
        <v>79</v>
      </c>
      <c r="L99" t="s">
        <v>20</v>
      </c>
    </row>
    <row r="100" spans="1:12">
      <c r="A100" t="s">
        <v>397</v>
      </c>
      <c r="B100" t="s">
        <v>170</v>
      </c>
      <c r="C100" t="s">
        <v>144</v>
      </c>
      <c r="D100" t="str">
        <f>_xlfn.CONCAT(tblEmployees[[#This Row],[First_Name]]," ",tblEmployees[[#This Row],[Last_Name]])</f>
        <v>Sonia Rathod</v>
      </c>
      <c r="E100" t="s">
        <v>14</v>
      </c>
      <c r="F100" t="s">
        <v>33</v>
      </c>
      <c r="G100" t="s">
        <v>34</v>
      </c>
      <c r="H100" t="s">
        <v>398</v>
      </c>
      <c r="I100" t="s">
        <v>399</v>
      </c>
      <c r="J100" s="2">
        <v>45391</v>
      </c>
      <c r="K100" t="s">
        <v>86</v>
      </c>
      <c r="L100" t="s">
        <v>20</v>
      </c>
    </row>
    <row r="101" spans="1:12">
      <c r="A101" t="s">
        <v>400</v>
      </c>
      <c r="B101" t="s">
        <v>175</v>
      </c>
      <c r="C101" t="s">
        <v>150</v>
      </c>
      <c r="D101" t="str">
        <f>_xlfn.CONCAT(tblEmployees[[#This Row],[First_Name]]," ",tblEmployees[[#This Row],[Last_Name]])</f>
        <v>Akash Pawar</v>
      </c>
      <c r="E101" t="s">
        <v>24</v>
      </c>
      <c r="F101" t="s">
        <v>41</v>
      </c>
      <c r="G101" t="s">
        <v>42</v>
      </c>
      <c r="H101" t="s">
        <v>401</v>
      </c>
      <c r="I101" t="s">
        <v>402</v>
      </c>
      <c r="J101" s="2">
        <v>45392</v>
      </c>
      <c r="K101" t="s">
        <v>93</v>
      </c>
      <c r="L101" t="s">
        <v>46</v>
      </c>
    </row>
    <row r="102" spans="1:12">
      <c r="A102" t="s">
        <v>403</v>
      </c>
      <c r="B102" t="s">
        <v>12</v>
      </c>
      <c r="C102" t="s">
        <v>13</v>
      </c>
      <c r="D102" t="str">
        <f>_xlfn.CONCAT(tblEmployees[[#This Row],[First_Name]]," ",tblEmployees[[#This Row],[Last_Name]])</f>
        <v>Rahul Sharma</v>
      </c>
      <c r="E102" t="s">
        <v>14</v>
      </c>
      <c r="F102" t="s">
        <v>50</v>
      </c>
      <c r="G102" t="s">
        <v>51</v>
      </c>
      <c r="H102" t="s">
        <v>404</v>
      </c>
      <c r="I102" t="s">
        <v>405</v>
      </c>
      <c r="J102" s="2">
        <v>45393</v>
      </c>
      <c r="K102" t="s">
        <v>19</v>
      </c>
      <c r="L102" t="s">
        <v>55</v>
      </c>
    </row>
    <row r="103" spans="1:12">
      <c r="A103" t="s">
        <v>406</v>
      </c>
      <c r="B103" t="s">
        <v>22</v>
      </c>
      <c r="C103" t="s">
        <v>23</v>
      </c>
      <c r="D103" t="str">
        <f>_xlfn.CONCAT(tblEmployees[[#This Row],[First_Name]]," ",tblEmployees[[#This Row],[Last_Name]])</f>
        <v>Priya Patel</v>
      </c>
      <c r="E103" t="s">
        <v>24</v>
      </c>
      <c r="F103" t="s">
        <v>59</v>
      </c>
      <c r="G103" t="s">
        <v>60</v>
      </c>
      <c r="H103" t="s">
        <v>407</v>
      </c>
      <c r="I103" t="s">
        <v>408</v>
      </c>
      <c r="J103" s="2">
        <v>45394</v>
      </c>
      <c r="K103" t="s">
        <v>29</v>
      </c>
      <c r="L103" t="s">
        <v>20</v>
      </c>
    </row>
    <row r="104" spans="1:12">
      <c r="A104" t="s">
        <v>409</v>
      </c>
      <c r="B104" t="s">
        <v>31</v>
      </c>
      <c r="C104" t="s">
        <v>32</v>
      </c>
      <c r="D104" t="str">
        <f>_xlfn.CONCAT(tblEmployees[[#This Row],[First_Name]]," ",tblEmployees[[#This Row],[Last_Name]])</f>
        <v>Amit Gupta</v>
      </c>
      <c r="E104" t="s">
        <v>14</v>
      </c>
      <c r="F104" t="s">
        <v>67</v>
      </c>
      <c r="G104" t="s">
        <v>68</v>
      </c>
      <c r="H104" t="s">
        <v>410</v>
      </c>
      <c r="I104" t="s">
        <v>411</v>
      </c>
      <c r="J104" s="2">
        <v>45395</v>
      </c>
      <c r="K104" t="s">
        <v>37</v>
      </c>
      <c r="L104" t="s">
        <v>20</v>
      </c>
    </row>
    <row r="105" spans="1:12">
      <c r="A105" t="s">
        <v>412</v>
      </c>
      <c r="B105" t="s">
        <v>39</v>
      </c>
      <c r="C105" t="s">
        <v>40</v>
      </c>
      <c r="D105" t="str">
        <f>_xlfn.CONCAT(tblEmployees[[#This Row],[First_Name]]," ",tblEmployees[[#This Row],[Last_Name]])</f>
        <v>Sneha Singh</v>
      </c>
      <c r="E105" t="s">
        <v>24</v>
      </c>
      <c r="F105" t="s">
        <v>75</v>
      </c>
      <c r="G105" t="s">
        <v>76</v>
      </c>
      <c r="H105" t="s">
        <v>413</v>
      </c>
      <c r="I105" t="s">
        <v>414</v>
      </c>
      <c r="J105" s="2">
        <v>45396</v>
      </c>
      <c r="K105" t="s">
        <v>45</v>
      </c>
      <c r="L105" t="s">
        <v>20</v>
      </c>
    </row>
    <row r="106" spans="1:12">
      <c r="A106" t="s">
        <v>415</v>
      </c>
      <c r="B106" t="s">
        <v>48</v>
      </c>
      <c r="C106" t="s">
        <v>49</v>
      </c>
      <c r="D106" t="str">
        <f>_xlfn.CONCAT(tblEmployees[[#This Row],[First_Name]]," ",tblEmployees[[#This Row],[Last_Name]])</f>
        <v>Rohan Verma</v>
      </c>
      <c r="E106" t="s">
        <v>14</v>
      </c>
      <c r="F106" t="s">
        <v>15</v>
      </c>
      <c r="G106" t="s">
        <v>83</v>
      </c>
      <c r="H106" t="s">
        <v>416</v>
      </c>
      <c r="I106" t="s">
        <v>417</v>
      </c>
      <c r="J106" s="2">
        <v>45397</v>
      </c>
      <c r="K106" t="s">
        <v>54</v>
      </c>
      <c r="L106" t="s">
        <v>20</v>
      </c>
    </row>
    <row r="107" spans="1:12">
      <c r="A107" t="s">
        <v>418</v>
      </c>
      <c r="B107" t="s">
        <v>57</v>
      </c>
      <c r="C107" t="s">
        <v>58</v>
      </c>
      <c r="D107" t="str">
        <f>_xlfn.CONCAT(tblEmployees[[#This Row],[First_Name]]," ",tblEmployees[[#This Row],[Last_Name]])</f>
        <v>Pooja Joshi</v>
      </c>
      <c r="E107" t="s">
        <v>24</v>
      </c>
      <c r="F107" t="s">
        <v>25</v>
      </c>
      <c r="G107" t="s">
        <v>90</v>
      </c>
      <c r="H107" t="s">
        <v>419</v>
      </c>
      <c r="I107" t="s">
        <v>420</v>
      </c>
      <c r="J107" s="2">
        <v>45398</v>
      </c>
      <c r="K107" t="s">
        <v>63</v>
      </c>
      <c r="L107" t="s">
        <v>46</v>
      </c>
    </row>
    <row r="108" spans="1:12">
      <c r="A108" t="s">
        <v>421</v>
      </c>
      <c r="B108" t="s">
        <v>65</v>
      </c>
      <c r="C108" t="s">
        <v>66</v>
      </c>
      <c r="D108" t="str">
        <f>_xlfn.CONCAT(tblEmployees[[#This Row],[First_Name]]," ",tblEmployees[[#This Row],[Last_Name]])</f>
        <v>Arjun Kulkarni</v>
      </c>
      <c r="E108" t="s">
        <v>14</v>
      </c>
      <c r="F108" t="s">
        <v>33</v>
      </c>
      <c r="G108" t="s">
        <v>97</v>
      </c>
      <c r="H108" t="s">
        <v>422</v>
      </c>
      <c r="I108" t="s">
        <v>423</v>
      </c>
      <c r="J108" s="2">
        <v>45399</v>
      </c>
      <c r="K108" t="s">
        <v>71</v>
      </c>
      <c r="L108" t="s">
        <v>55</v>
      </c>
    </row>
    <row r="109" spans="1:12">
      <c r="A109" t="s">
        <v>424</v>
      </c>
      <c r="B109" t="s">
        <v>73</v>
      </c>
      <c r="C109" t="s">
        <v>74</v>
      </c>
      <c r="D109" t="str">
        <f>_xlfn.CONCAT(tblEmployees[[#This Row],[First_Name]]," ",tblEmployees[[#This Row],[Last_Name]])</f>
        <v>Neha Shaikh</v>
      </c>
      <c r="E109" t="s">
        <v>24</v>
      </c>
      <c r="F109" t="s">
        <v>41</v>
      </c>
      <c r="G109" t="s">
        <v>103</v>
      </c>
      <c r="H109" t="s">
        <v>425</v>
      </c>
      <c r="I109" t="s">
        <v>426</v>
      </c>
      <c r="J109" s="2">
        <v>45400</v>
      </c>
      <c r="K109" t="s">
        <v>79</v>
      </c>
      <c r="L109" t="s">
        <v>20</v>
      </c>
    </row>
    <row r="110" spans="1:12">
      <c r="A110" t="s">
        <v>427</v>
      </c>
      <c r="B110" t="s">
        <v>81</v>
      </c>
      <c r="C110" t="s">
        <v>82</v>
      </c>
      <c r="D110" t="str">
        <f>_xlfn.CONCAT(tblEmployees[[#This Row],[First_Name]]," ",tblEmployees[[#This Row],[Last_Name]])</f>
        <v>Karan Khan</v>
      </c>
      <c r="E110" t="s">
        <v>14</v>
      </c>
      <c r="F110" t="s">
        <v>50</v>
      </c>
      <c r="G110" t="s">
        <v>109</v>
      </c>
      <c r="H110" t="s">
        <v>428</v>
      </c>
      <c r="I110" t="s">
        <v>429</v>
      </c>
      <c r="J110" s="2">
        <v>45401</v>
      </c>
      <c r="K110" t="s">
        <v>86</v>
      </c>
      <c r="L110" t="s">
        <v>20</v>
      </c>
    </row>
    <row r="111" spans="1:12">
      <c r="A111" t="s">
        <v>430</v>
      </c>
      <c r="B111" t="s">
        <v>88</v>
      </c>
      <c r="C111" t="s">
        <v>89</v>
      </c>
      <c r="D111" t="str">
        <f>_xlfn.CONCAT(tblEmployees[[#This Row],[First_Name]]," ",tblEmployees[[#This Row],[Last_Name]])</f>
        <v>Anjali Yadav</v>
      </c>
      <c r="E111" t="s">
        <v>24</v>
      </c>
      <c r="F111" t="s">
        <v>59</v>
      </c>
      <c r="G111" t="s">
        <v>115</v>
      </c>
      <c r="H111" t="s">
        <v>431</v>
      </c>
      <c r="I111" t="s">
        <v>432</v>
      </c>
      <c r="J111" s="2">
        <v>45402</v>
      </c>
      <c r="K111" t="s">
        <v>93</v>
      </c>
      <c r="L111" t="s">
        <v>20</v>
      </c>
    </row>
    <row r="112" spans="1:12">
      <c r="A112" t="s">
        <v>433</v>
      </c>
      <c r="B112" t="s">
        <v>95</v>
      </c>
      <c r="C112" t="s">
        <v>96</v>
      </c>
      <c r="D112" t="str">
        <f>_xlfn.CONCAT(tblEmployees[[#This Row],[First_Name]]," ",tblEmployees[[#This Row],[Last_Name]])</f>
        <v>Vikas More</v>
      </c>
      <c r="E112" t="s">
        <v>14</v>
      </c>
      <c r="F112" t="s">
        <v>67</v>
      </c>
      <c r="G112" t="s">
        <v>121</v>
      </c>
      <c r="H112" t="s">
        <v>434</v>
      </c>
      <c r="I112" t="s">
        <v>435</v>
      </c>
      <c r="J112" s="2">
        <v>45403</v>
      </c>
      <c r="K112" t="s">
        <v>19</v>
      </c>
      <c r="L112" t="s">
        <v>20</v>
      </c>
    </row>
    <row r="113" spans="1:12">
      <c r="A113" t="s">
        <v>436</v>
      </c>
      <c r="B113" t="s">
        <v>101</v>
      </c>
      <c r="C113" t="s">
        <v>102</v>
      </c>
      <c r="D113" t="str">
        <f>_xlfn.CONCAT(tblEmployees[[#This Row],[First_Name]]," ",tblEmployees[[#This Row],[Last_Name]])</f>
        <v>Meera Jadhav</v>
      </c>
      <c r="E113" t="s">
        <v>24</v>
      </c>
      <c r="F113" t="s">
        <v>75</v>
      </c>
      <c r="G113" t="s">
        <v>127</v>
      </c>
      <c r="H113" t="s">
        <v>437</v>
      </c>
      <c r="I113" t="s">
        <v>438</v>
      </c>
      <c r="J113" s="2">
        <v>45404</v>
      </c>
      <c r="K113" t="s">
        <v>29</v>
      </c>
      <c r="L113" t="s">
        <v>46</v>
      </c>
    </row>
    <row r="114" spans="1:12">
      <c r="A114" t="s">
        <v>439</v>
      </c>
      <c r="B114" t="s">
        <v>107</v>
      </c>
      <c r="C114" t="s">
        <v>108</v>
      </c>
      <c r="D114" t="str">
        <f>_xlfn.CONCAT(tblEmployees[[#This Row],[First_Name]]," ",tblEmployees[[#This Row],[Last_Name]])</f>
        <v>Sahil Patil</v>
      </c>
      <c r="E114" t="s">
        <v>14</v>
      </c>
      <c r="F114" t="s">
        <v>15</v>
      </c>
      <c r="G114" t="s">
        <v>133</v>
      </c>
      <c r="H114" t="s">
        <v>440</v>
      </c>
      <c r="I114" t="s">
        <v>441</v>
      </c>
      <c r="J114" s="2">
        <v>45405</v>
      </c>
      <c r="K114" t="s">
        <v>37</v>
      </c>
      <c r="L114" t="s">
        <v>55</v>
      </c>
    </row>
    <row r="115" spans="1:12">
      <c r="A115" t="s">
        <v>442</v>
      </c>
      <c r="B115" t="s">
        <v>113</v>
      </c>
      <c r="C115" t="s">
        <v>114</v>
      </c>
      <c r="D115" t="str">
        <f>_xlfn.CONCAT(tblEmployees[[#This Row],[First_Name]]," ",tblEmployees[[#This Row],[Last_Name]])</f>
        <v>Aisha Deshmukh</v>
      </c>
      <c r="E115" t="s">
        <v>24</v>
      </c>
      <c r="F115" t="s">
        <v>25</v>
      </c>
      <c r="G115" t="s">
        <v>139</v>
      </c>
      <c r="H115" t="s">
        <v>443</v>
      </c>
      <c r="I115" t="s">
        <v>444</v>
      </c>
      <c r="J115" s="2">
        <v>45406</v>
      </c>
      <c r="K115" t="s">
        <v>45</v>
      </c>
      <c r="L115" t="s">
        <v>20</v>
      </c>
    </row>
    <row r="116" spans="1:12">
      <c r="A116" t="s">
        <v>445</v>
      </c>
      <c r="B116" t="s">
        <v>119</v>
      </c>
      <c r="C116" t="s">
        <v>120</v>
      </c>
      <c r="D116" t="str">
        <f>_xlfn.CONCAT(tblEmployees[[#This Row],[First_Name]]," ",tblEmployees[[#This Row],[Last_Name]])</f>
        <v>Riya Shinde</v>
      </c>
      <c r="E116" t="s">
        <v>14</v>
      </c>
      <c r="F116" t="s">
        <v>33</v>
      </c>
      <c r="G116" t="s">
        <v>145</v>
      </c>
      <c r="H116" t="s">
        <v>446</v>
      </c>
      <c r="I116" t="s">
        <v>447</v>
      </c>
      <c r="J116" s="2">
        <v>45407</v>
      </c>
      <c r="K116" t="s">
        <v>54</v>
      </c>
      <c r="L116" t="s">
        <v>20</v>
      </c>
    </row>
    <row r="117" spans="1:12">
      <c r="A117" t="s">
        <v>448</v>
      </c>
      <c r="B117" t="s">
        <v>125</v>
      </c>
      <c r="C117" t="s">
        <v>126</v>
      </c>
      <c r="D117" t="str">
        <f>_xlfn.CONCAT(tblEmployees[[#This Row],[First_Name]]," ",tblEmployees[[#This Row],[Last_Name]])</f>
        <v>Vivek Mane</v>
      </c>
      <c r="E117" t="s">
        <v>24</v>
      </c>
      <c r="F117" t="s">
        <v>41</v>
      </c>
      <c r="G117" t="s">
        <v>151</v>
      </c>
      <c r="H117" t="s">
        <v>449</v>
      </c>
      <c r="I117" t="s">
        <v>450</v>
      </c>
      <c r="J117" s="2">
        <v>45408</v>
      </c>
      <c r="K117" t="s">
        <v>63</v>
      </c>
      <c r="L117" t="s">
        <v>20</v>
      </c>
    </row>
    <row r="118" spans="1:12">
      <c r="A118" t="s">
        <v>451</v>
      </c>
      <c r="B118" t="s">
        <v>131</v>
      </c>
      <c r="C118" t="s">
        <v>132</v>
      </c>
      <c r="D118" t="str">
        <f>_xlfn.CONCAT(tblEmployees[[#This Row],[First_Name]]," ",tblEmployees[[#This Row],[Last_Name]])</f>
        <v>Aditya Chavan</v>
      </c>
      <c r="E118" t="s">
        <v>14</v>
      </c>
      <c r="F118" t="s">
        <v>50</v>
      </c>
      <c r="G118" t="s">
        <v>156</v>
      </c>
      <c r="H118" t="s">
        <v>452</v>
      </c>
      <c r="I118" t="s">
        <v>453</v>
      </c>
      <c r="J118" s="2">
        <v>45409</v>
      </c>
      <c r="K118" t="s">
        <v>71</v>
      </c>
      <c r="L118" t="s">
        <v>20</v>
      </c>
    </row>
    <row r="119" spans="1:12">
      <c r="A119" t="s">
        <v>454</v>
      </c>
      <c r="B119" t="s">
        <v>137</v>
      </c>
      <c r="C119" t="s">
        <v>138</v>
      </c>
      <c r="D119" t="str">
        <f>_xlfn.CONCAT(tblEmployees[[#This Row],[First_Name]]," ",tblEmployees[[#This Row],[Last_Name]])</f>
        <v>Nisha Ansari</v>
      </c>
      <c r="E119" t="s">
        <v>24</v>
      </c>
      <c r="F119" t="s">
        <v>59</v>
      </c>
      <c r="G119" t="s">
        <v>161</v>
      </c>
      <c r="H119" t="s">
        <v>455</v>
      </c>
      <c r="I119" t="s">
        <v>456</v>
      </c>
      <c r="J119" s="2">
        <v>45410</v>
      </c>
      <c r="K119" t="s">
        <v>79</v>
      </c>
      <c r="L119" t="s">
        <v>46</v>
      </c>
    </row>
    <row r="120" spans="1:12">
      <c r="A120" t="s">
        <v>457</v>
      </c>
      <c r="B120" t="s">
        <v>143</v>
      </c>
      <c r="C120" t="s">
        <v>144</v>
      </c>
      <c r="D120" t="str">
        <f>_xlfn.CONCAT(tblEmployees[[#This Row],[First_Name]]," ",tblEmployees[[#This Row],[Last_Name]])</f>
        <v>Deepak Rathod</v>
      </c>
      <c r="E120" t="s">
        <v>14</v>
      </c>
      <c r="F120" t="s">
        <v>67</v>
      </c>
      <c r="G120" t="s">
        <v>166</v>
      </c>
      <c r="H120" t="s">
        <v>458</v>
      </c>
      <c r="I120" t="s">
        <v>459</v>
      </c>
      <c r="J120" s="2">
        <v>45411</v>
      </c>
      <c r="K120" t="s">
        <v>86</v>
      </c>
      <c r="L120" t="s">
        <v>55</v>
      </c>
    </row>
    <row r="121" spans="1:12">
      <c r="A121" t="s">
        <v>460</v>
      </c>
      <c r="B121" t="s">
        <v>149</v>
      </c>
      <c r="C121" t="s">
        <v>150</v>
      </c>
      <c r="D121" t="str">
        <f>_xlfn.CONCAT(tblEmployees[[#This Row],[First_Name]]," ",tblEmployees[[#This Row],[Last_Name]])</f>
        <v>Komal Pawar</v>
      </c>
      <c r="E121" t="s">
        <v>24</v>
      </c>
      <c r="F121" t="s">
        <v>75</v>
      </c>
      <c r="G121" t="s">
        <v>171</v>
      </c>
      <c r="H121" t="s">
        <v>461</v>
      </c>
      <c r="I121" t="s">
        <v>462</v>
      </c>
      <c r="J121" s="2">
        <v>45412</v>
      </c>
      <c r="K121" t="s">
        <v>93</v>
      </c>
      <c r="L121" t="s">
        <v>20</v>
      </c>
    </row>
    <row r="122" spans="1:12">
      <c r="A122" t="s">
        <v>463</v>
      </c>
      <c r="B122" t="s">
        <v>155</v>
      </c>
      <c r="C122" t="s">
        <v>13</v>
      </c>
      <c r="D122" t="str">
        <f>_xlfn.CONCAT(tblEmployees[[#This Row],[First_Name]]," ",tblEmployees[[#This Row],[Last_Name]])</f>
        <v>Sameer Sharma</v>
      </c>
      <c r="E122" t="s">
        <v>14</v>
      </c>
      <c r="F122" t="s">
        <v>15</v>
      </c>
      <c r="G122" t="s">
        <v>16</v>
      </c>
      <c r="H122" t="s">
        <v>464</v>
      </c>
      <c r="I122" t="s">
        <v>465</v>
      </c>
      <c r="J122" s="2">
        <v>45413</v>
      </c>
      <c r="K122" t="s">
        <v>19</v>
      </c>
      <c r="L122" t="s">
        <v>20</v>
      </c>
    </row>
    <row r="123" spans="1:12">
      <c r="A123" t="s">
        <v>466</v>
      </c>
      <c r="B123" t="s">
        <v>160</v>
      </c>
      <c r="C123" t="s">
        <v>23</v>
      </c>
      <c r="D123" t="str">
        <f>_xlfn.CONCAT(tblEmployees[[#This Row],[First_Name]]," ",tblEmployees[[#This Row],[Last_Name]])</f>
        <v>Farhan Patel</v>
      </c>
      <c r="E123" t="s">
        <v>24</v>
      </c>
      <c r="F123" t="s">
        <v>25</v>
      </c>
      <c r="G123" t="s">
        <v>26</v>
      </c>
      <c r="H123" t="s">
        <v>467</v>
      </c>
      <c r="I123" t="s">
        <v>468</v>
      </c>
      <c r="J123" s="2">
        <v>45414</v>
      </c>
      <c r="K123" t="s">
        <v>29</v>
      </c>
      <c r="L123" t="s">
        <v>20</v>
      </c>
    </row>
    <row r="124" spans="1:12">
      <c r="A124" t="s">
        <v>469</v>
      </c>
      <c r="B124" t="s">
        <v>165</v>
      </c>
      <c r="C124" t="s">
        <v>32</v>
      </c>
      <c r="D124" t="str">
        <f>_xlfn.CONCAT(tblEmployees[[#This Row],[First_Name]]," ",tblEmployees[[#This Row],[Last_Name]])</f>
        <v>Isha Gupta</v>
      </c>
      <c r="E124" t="s">
        <v>14</v>
      </c>
      <c r="F124" t="s">
        <v>33</v>
      </c>
      <c r="G124" t="s">
        <v>34</v>
      </c>
      <c r="H124" t="s">
        <v>470</v>
      </c>
      <c r="I124" t="s">
        <v>471</v>
      </c>
      <c r="J124" s="2">
        <v>45415</v>
      </c>
      <c r="K124" t="s">
        <v>37</v>
      </c>
      <c r="L124" t="s">
        <v>20</v>
      </c>
    </row>
    <row r="125" spans="1:12">
      <c r="A125" t="s">
        <v>472</v>
      </c>
      <c r="B125" t="s">
        <v>170</v>
      </c>
      <c r="C125" t="s">
        <v>40</v>
      </c>
      <c r="D125" t="str">
        <f>_xlfn.CONCAT(tblEmployees[[#This Row],[First_Name]]," ",tblEmployees[[#This Row],[Last_Name]])</f>
        <v>Sonia Singh</v>
      </c>
      <c r="E125" t="s">
        <v>24</v>
      </c>
      <c r="F125" t="s">
        <v>41</v>
      </c>
      <c r="G125" t="s">
        <v>42</v>
      </c>
      <c r="H125" t="s">
        <v>473</v>
      </c>
      <c r="I125" t="s">
        <v>474</v>
      </c>
      <c r="J125" s="2">
        <v>45416</v>
      </c>
      <c r="K125" t="s">
        <v>45</v>
      </c>
      <c r="L125" t="s">
        <v>46</v>
      </c>
    </row>
    <row r="126" spans="1:12">
      <c r="A126" t="s">
        <v>475</v>
      </c>
      <c r="B126" t="s">
        <v>175</v>
      </c>
      <c r="C126" t="s">
        <v>49</v>
      </c>
      <c r="D126" t="str">
        <f>_xlfn.CONCAT(tblEmployees[[#This Row],[First_Name]]," ",tblEmployees[[#This Row],[Last_Name]])</f>
        <v>Akash Verma</v>
      </c>
      <c r="E126" t="s">
        <v>14</v>
      </c>
      <c r="F126" t="s">
        <v>50</v>
      </c>
      <c r="G126" t="s">
        <v>51</v>
      </c>
      <c r="H126" t="s">
        <v>476</v>
      </c>
      <c r="I126" t="s">
        <v>477</v>
      </c>
      <c r="J126" s="2">
        <v>45417</v>
      </c>
      <c r="K126" t="s">
        <v>54</v>
      </c>
      <c r="L126" t="s">
        <v>55</v>
      </c>
    </row>
    <row r="127" spans="1:12">
      <c r="A127" t="s">
        <v>478</v>
      </c>
      <c r="B127" t="s">
        <v>12</v>
      </c>
      <c r="C127" t="s">
        <v>58</v>
      </c>
      <c r="D127" t="str">
        <f>_xlfn.CONCAT(tblEmployees[[#This Row],[First_Name]]," ",tblEmployees[[#This Row],[Last_Name]])</f>
        <v>Rahul Joshi</v>
      </c>
      <c r="E127" t="s">
        <v>24</v>
      </c>
      <c r="F127" t="s">
        <v>59</v>
      </c>
      <c r="G127" t="s">
        <v>60</v>
      </c>
      <c r="H127" t="s">
        <v>479</v>
      </c>
      <c r="I127" t="s">
        <v>480</v>
      </c>
      <c r="J127" s="2">
        <v>45418</v>
      </c>
      <c r="K127" t="s">
        <v>63</v>
      </c>
      <c r="L127" t="s">
        <v>20</v>
      </c>
    </row>
    <row r="128" spans="1:12">
      <c r="A128" t="s">
        <v>481</v>
      </c>
      <c r="B128" t="s">
        <v>22</v>
      </c>
      <c r="C128" t="s">
        <v>66</v>
      </c>
      <c r="D128" t="str">
        <f>_xlfn.CONCAT(tblEmployees[[#This Row],[First_Name]]," ",tblEmployees[[#This Row],[Last_Name]])</f>
        <v>Priya Kulkarni</v>
      </c>
      <c r="E128" t="s">
        <v>14</v>
      </c>
      <c r="F128" t="s">
        <v>67</v>
      </c>
      <c r="G128" t="s">
        <v>68</v>
      </c>
      <c r="H128" t="s">
        <v>482</v>
      </c>
      <c r="I128" t="s">
        <v>483</v>
      </c>
      <c r="J128" s="2">
        <v>45419</v>
      </c>
      <c r="K128" t="s">
        <v>71</v>
      </c>
      <c r="L128" t="s">
        <v>20</v>
      </c>
    </row>
    <row r="129" spans="1:12">
      <c r="A129" t="s">
        <v>484</v>
      </c>
      <c r="B129" t="s">
        <v>31</v>
      </c>
      <c r="C129" t="s">
        <v>74</v>
      </c>
      <c r="D129" t="str">
        <f>_xlfn.CONCAT(tblEmployees[[#This Row],[First_Name]]," ",tblEmployees[[#This Row],[Last_Name]])</f>
        <v>Amit Shaikh</v>
      </c>
      <c r="E129" t="s">
        <v>24</v>
      </c>
      <c r="F129" t="s">
        <v>75</v>
      </c>
      <c r="G129" t="s">
        <v>76</v>
      </c>
      <c r="H129" t="s">
        <v>485</v>
      </c>
      <c r="I129" t="s">
        <v>486</v>
      </c>
      <c r="J129" s="2">
        <v>45420</v>
      </c>
      <c r="K129" t="s">
        <v>79</v>
      </c>
      <c r="L129" t="s">
        <v>20</v>
      </c>
    </row>
    <row r="130" spans="1:12">
      <c r="A130" t="s">
        <v>487</v>
      </c>
      <c r="B130" t="s">
        <v>39</v>
      </c>
      <c r="C130" t="s">
        <v>82</v>
      </c>
      <c r="D130" t="str">
        <f>_xlfn.CONCAT(tblEmployees[[#This Row],[First_Name]]," ",tblEmployees[[#This Row],[Last_Name]])</f>
        <v>Sneha Khan</v>
      </c>
      <c r="E130" t="s">
        <v>14</v>
      </c>
      <c r="F130" t="s">
        <v>15</v>
      </c>
      <c r="G130" t="s">
        <v>83</v>
      </c>
      <c r="H130" t="s">
        <v>488</v>
      </c>
      <c r="I130" t="s">
        <v>489</v>
      </c>
      <c r="J130" s="2">
        <v>45421</v>
      </c>
      <c r="K130" t="s">
        <v>86</v>
      </c>
      <c r="L130" t="s">
        <v>20</v>
      </c>
    </row>
    <row r="131" spans="1:12">
      <c r="A131" t="s">
        <v>490</v>
      </c>
      <c r="B131" t="s">
        <v>48</v>
      </c>
      <c r="C131" t="s">
        <v>89</v>
      </c>
      <c r="D131" t="str">
        <f>_xlfn.CONCAT(tblEmployees[[#This Row],[First_Name]]," ",tblEmployees[[#This Row],[Last_Name]])</f>
        <v>Rohan Yadav</v>
      </c>
      <c r="E131" t="s">
        <v>24</v>
      </c>
      <c r="F131" t="s">
        <v>25</v>
      </c>
      <c r="G131" t="s">
        <v>90</v>
      </c>
      <c r="H131" t="s">
        <v>491</v>
      </c>
      <c r="I131" t="s">
        <v>492</v>
      </c>
      <c r="J131" s="2">
        <v>45422</v>
      </c>
      <c r="K131" t="s">
        <v>93</v>
      </c>
      <c r="L131" t="s">
        <v>46</v>
      </c>
    </row>
    <row r="132" spans="1:12">
      <c r="A132" t="s">
        <v>493</v>
      </c>
      <c r="B132" t="s">
        <v>57</v>
      </c>
      <c r="C132" t="s">
        <v>96</v>
      </c>
      <c r="D132" t="str">
        <f>_xlfn.CONCAT(tblEmployees[[#This Row],[First_Name]]," ",tblEmployees[[#This Row],[Last_Name]])</f>
        <v>Pooja More</v>
      </c>
      <c r="E132" t="s">
        <v>14</v>
      </c>
      <c r="F132" t="s">
        <v>33</v>
      </c>
      <c r="G132" t="s">
        <v>97</v>
      </c>
      <c r="H132" t="s">
        <v>494</v>
      </c>
      <c r="I132" t="s">
        <v>495</v>
      </c>
      <c r="J132" s="2">
        <v>45423</v>
      </c>
      <c r="K132" t="s">
        <v>19</v>
      </c>
      <c r="L132" t="s">
        <v>55</v>
      </c>
    </row>
    <row r="133" spans="1:12">
      <c r="A133" t="s">
        <v>496</v>
      </c>
      <c r="B133" t="s">
        <v>65</v>
      </c>
      <c r="C133" t="s">
        <v>102</v>
      </c>
      <c r="D133" t="str">
        <f>_xlfn.CONCAT(tblEmployees[[#This Row],[First_Name]]," ",tblEmployees[[#This Row],[Last_Name]])</f>
        <v>Arjun Jadhav</v>
      </c>
      <c r="E133" t="s">
        <v>24</v>
      </c>
      <c r="F133" t="s">
        <v>41</v>
      </c>
      <c r="G133" t="s">
        <v>103</v>
      </c>
      <c r="H133" t="s">
        <v>497</v>
      </c>
      <c r="I133" t="s">
        <v>498</v>
      </c>
      <c r="J133" s="2">
        <v>45424</v>
      </c>
      <c r="K133" t="s">
        <v>29</v>
      </c>
      <c r="L133" t="s">
        <v>20</v>
      </c>
    </row>
    <row r="134" spans="1:12">
      <c r="A134" t="s">
        <v>499</v>
      </c>
      <c r="B134" t="s">
        <v>73</v>
      </c>
      <c r="C134" t="s">
        <v>108</v>
      </c>
      <c r="D134" t="str">
        <f>_xlfn.CONCAT(tblEmployees[[#This Row],[First_Name]]," ",tblEmployees[[#This Row],[Last_Name]])</f>
        <v>Neha Patil</v>
      </c>
      <c r="E134" t="s">
        <v>14</v>
      </c>
      <c r="F134" t="s">
        <v>50</v>
      </c>
      <c r="G134" t="s">
        <v>109</v>
      </c>
      <c r="H134" t="s">
        <v>500</v>
      </c>
      <c r="I134" t="s">
        <v>501</v>
      </c>
      <c r="J134" s="2">
        <v>45425</v>
      </c>
      <c r="K134" t="s">
        <v>37</v>
      </c>
      <c r="L134" t="s">
        <v>20</v>
      </c>
    </row>
    <row r="135" spans="1:12">
      <c r="A135" t="s">
        <v>502</v>
      </c>
      <c r="B135" t="s">
        <v>81</v>
      </c>
      <c r="C135" t="s">
        <v>114</v>
      </c>
      <c r="D135" t="str">
        <f>_xlfn.CONCAT(tblEmployees[[#This Row],[First_Name]]," ",tblEmployees[[#This Row],[Last_Name]])</f>
        <v>Karan Deshmukh</v>
      </c>
      <c r="E135" t="s">
        <v>24</v>
      </c>
      <c r="F135" t="s">
        <v>59</v>
      </c>
      <c r="G135" t="s">
        <v>115</v>
      </c>
      <c r="H135" t="s">
        <v>503</v>
      </c>
      <c r="I135" t="s">
        <v>504</v>
      </c>
      <c r="J135" s="2">
        <v>45426</v>
      </c>
      <c r="K135" t="s">
        <v>45</v>
      </c>
      <c r="L135" t="s">
        <v>20</v>
      </c>
    </row>
    <row r="136" spans="1:12">
      <c r="A136" t="s">
        <v>505</v>
      </c>
      <c r="B136" t="s">
        <v>88</v>
      </c>
      <c r="C136" t="s">
        <v>120</v>
      </c>
      <c r="D136" t="str">
        <f>_xlfn.CONCAT(tblEmployees[[#This Row],[First_Name]]," ",tblEmployees[[#This Row],[Last_Name]])</f>
        <v>Anjali Shinde</v>
      </c>
      <c r="E136" t="s">
        <v>14</v>
      </c>
      <c r="F136" t="s">
        <v>67</v>
      </c>
      <c r="G136" t="s">
        <v>121</v>
      </c>
      <c r="H136" t="s">
        <v>506</v>
      </c>
      <c r="I136" t="s">
        <v>507</v>
      </c>
      <c r="J136" s="2">
        <v>45427</v>
      </c>
      <c r="K136" t="s">
        <v>54</v>
      </c>
      <c r="L136" t="s">
        <v>20</v>
      </c>
    </row>
    <row r="137" spans="1:12">
      <c r="A137" t="s">
        <v>508</v>
      </c>
      <c r="B137" t="s">
        <v>95</v>
      </c>
      <c r="C137" t="s">
        <v>126</v>
      </c>
      <c r="D137" t="str">
        <f>_xlfn.CONCAT(tblEmployees[[#This Row],[First_Name]]," ",tblEmployees[[#This Row],[Last_Name]])</f>
        <v>Vikas Mane</v>
      </c>
      <c r="E137" t="s">
        <v>24</v>
      </c>
      <c r="F137" t="s">
        <v>75</v>
      </c>
      <c r="G137" t="s">
        <v>127</v>
      </c>
      <c r="H137" t="s">
        <v>509</v>
      </c>
      <c r="I137" t="s">
        <v>510</v>
      </c>
      <c r="J137" s="2">
        <v>45428</v>
      </c>
      <c r="K137" t="s">
        <v>63</v>
      </c>
      <c r="L137" t="s">
        <v>46</v>
      </c>
    </row>
    <row r="138" spans="1:12">
      <c r="A138" t="s">
        <v>511</v>
      </c>
      <c r="B138" t="s">
        <v>101</v>
      </c>
      <c r="C138" t="s">
        <v>132</v>
      </c>
      <c r="D138" t="str">
        <f>_xlfn.CONCAT(tblEmployees[[#This Row],[First_Name]]," ",tblEmployees[[#This Row],[Last_Name]])</f>
        <v>Meera Chavan</v>
      </c>
      <c r="E138" t="s">
        <v>14</v>
      </c>
      <c r="F138" t="s">
        <v>15</v>
      </c>
      <c r="G138" t="s">
        <v>133</v>
      </c>
      <c r="H138" t="s">
        <v>512</v>
      </c>
      <c r="I138" t="s">
        <v>513</v>
      </c>
      <c r="J138" s="2">
        <v>45429</v>
      </c>
      <c r="K138" t="s">
        <v>71</v>
      </c>
      <c r="L138" t="s">
        <v>55</v>
      </c>
    </row>
    <row r="139" spans="1:12">
      <c r="A139" t="s">
        <v>514</v>
      </c>
      <c r="B139" t="s">
        <v>107</v>
      </c>
      <c r="C139" t="s">
        <v>138</v>
      </c>
      <c r="D139" t="str">
        <f>_xlfn.CONCAT(tblEmployees[[#This Row],[First_Name]]," ",tblEmployees[[#This Row],[Last_Name]])</f>
        <v>Sahil Ansari</v>
      </c>
      <c r="E139" t="s">
        <v>24</v>
      </c>
      <c r="F139" t="s">
        <v>25</v>
      </c>
      <c r="G139" t="s">
        <v>139</v>
      </c>
      <c r="H139" t="s">
        <v>515</v>
      </c>
      <c r="I139" t="s">
        <v>516</v>
      </c>
      <c r="J139" s="2">
        <v>45430</v>
      </c>
      <c r="K139" t="s">
        <v>79</v>
      </c>
      <c r="L139" t="s">
        <v>20</v>
      </c>
    </row>
    <row r="140" spans="1:12">
      <c r="A140" t="s">
        <v>517</v>
      </c>
      <c r="B140" t="s">
        <v>113</v>
      </c>
      <c r="C140" t="s">
        <v>144</v>
      </c>
      <c r="D140" t="str">
        <f>_xlfn.CONCAT(tblEmployees[[#This Row],[First_Name]]," ",tblEmployees[[#This Row],[Last_Name]])</f>
        <v>Aisha Rathod</v>
      </c>
      <c r="E140" t="s">
        <v>14</v>
      </c>
      <c r="F140" t="s">
        <v>33</v>
      </c>
      <c r="G140" t="s">
        <v>145</v>
      </c>
      <c r="H140" t="s">
        <v>518</v>
      </c>
      <c r="I140" t="s">
        <v>519</v>
      </c>
      <c r="J140" s="2">
        <v>45431</v>
      </c>
      <c r="K140" t="s">
        <v>86</v>
      </c>
      <c r="L140" t="s">
        <v>20</v>
      </c>
    </row>
    <row r="141" spans="1:12">
      <c r="A141" t="s">
        <v>520</v>
      </c>
      <c r="B141" t="s">
        <v>119</v>
      </c>
      <c r="C141" t="s">
        <v>150</v>
      </c>
      <c r="D141" t="str">
        <f>_xlfn.CONCAT(tblEmployees[[#This Row],[First_Name]]," ",tblEmployees[[#This Row],[Last_Name]])</f>
        <v>Riya Pawar</v>
      </c>
      <c r="E141" t="s">
        <v>24</v>
      </c>
      <c r="F141" t="s">
        <v>41</v>
      </c>
      <c r="G141" t="s">
        <v>151</v>
      </c>
      <c r="H141" t="s">
        <v>521</v>
      </c>
      <c r="I141" t="s">
        <v>522</v>
      </c>
      <c r="J141" s="2">
        <v>45432</v>
      </c>
      <c r="K141" t="s">
        <v>93</v>
      </c>
      <c r="L141" t="s">
        <v>20</v>
      </c>
    </row>
    <row r="142" spans="1:12">
      <c r="A142" t="s">
        <v>523</v>
      </c>
      <c r="B142" t="s">
        <v>125</v>
      </c>
      <c r="C142" t="s">
        <v>13</v>
      </c>
      <c r="D142" t="str">
        <f>_xlfn.CONCAT(tblEmployees[[#This Row],[First_Name]]," ",tblEmployees[[#This Row],[Last_Name]])</f>
        <v>Vivek Sharma</v>
      </c>
      <c r="E142" t="s">
        <v>14</v>
      </c>
      <c r="F142" t="s">
        <v>50</v>
      </c>
      <c r="G142" t="s">
        <v>156</v>
      </c>
      <c r="H142" t="s">
        <v>524</v>
      </c>
      <c r="I142" t="s">
        <v>525</v>
      </c>
      <c r="J142" s="2">
        <v>45433</v>
      </c>
      <c r="K142" t="s">
        <v>19</v>
      </c>
      <c r="L142" t="s">
        <v>20</v>
      </c>
    </row>
    <row r="143" spans="1:12">
      <c r="A143" t="s">
        <v>526</v>
      </c>
      <c r="B143" t="s">
        <v>131</v>
      </c>
      <c r="C143" t="s">
        <v>23</v>
      </c>
      <c r="D143" t="str">
        <f>_xlfn.CONCAT(tblEmployees[[#This Row],[First_Name]]," ",tblEmployees[[#This Row],[Last_Name]])</f>
        <v>Aditya Patel</v>
      </c>
      <c r="E143" t="s">
        <v>24</v>
      </c>
      <c r="F143" t="s">
        <v>59</v>
      </c>
      <c r="G143" t="s">
        <v>161</v>
      </c>
      <c r="H143" t="s">
        <v>527</v>
      </c>
      <c r="I143" t="s">
        <v>528</v>
      </c>
      <c r="J143" s="2">
        <v>45434</v>
      </c>
      <c r="K143" t="s">
        <v>29</v>
      </c>
      <c r="L143" t="s">
        <v>46</v>
      </c>
    </row>
    <row r="144" spans="1:12">
      <c r="A144" t="s">
        <v>529</v>
      </c>
      <c r="B144" t="s">
        <v>137</v>
      </c>
      <c r="C144" t="s">
        <v>32</v>
      </c>
      <c r="D144" t="str">
        <f>_xlfn.CONCAT(tblEmployees[[#This Row],[First_Name]]," ",tblEmployees[[#This Row],[Last_Name]])</f>
        <v>Nisha Gupta</v>
      </c>
      <c r="E144" t="s">
        <v>14</v>
      </c>
      <c r="F144" t="s">
        <v>67</v>
      </c>
      <c r="G144" t="s">
        <v>166</v>
      </c>
      <c r="H144" t="s">
        <v>530</v>
      </c>
      <c r="I144" t="s">
        <v>531</v>
      </c>
      <c r="J144" s="2">
        <v>45435</v>
      </c>
      <c r="K144" t="s">
        <v>37</v>
      </c>
      <c r="L144" t="s">
        <v>55</v>
      </c>
    </row>
    <row r="145" spans="1:12">
      <c r="A145" t="s">
        <v>532</v>
      </c>
      <c r="B145" t="s">
        <v>143</v>
      </c>
      <c r="C145" t="s">
        <v>40</v>
      </c>
      <c r="D145" t="str">
        <f>_xlfn.CONCAT(tblEmployees[[#This Row],[First_Name]]," ",tblEmployees[[#This Row],[Last_Name]])</f>
        <v>Deepak Singh</v>
      </c>
      <c r="E145" t="s">
        <v>24</v>
      </c>
      <c r="F145" t="s">
        <v>75</v>
      </c>
      <c r="G145" t="s">
        <v>171</v>
      </c>
      <c r="H145" t="s">
        <v>533</v>
      </c>
      <c r="I145" t="s">
        <v>534</v>
      </c>
      <c r="J145" s="2">
        <v>45436</v>
      </c>
      <c r="K145" t="s">
        <v>45</v>
      </c>
      <c r="L145" t="s">
        <v>20</v>
      </c>
    </row>
    <row r="146" spans="1:12">
      <c r="A146" t="s">
        <v>535</v>
      </c>
      <c r="B146" t="s">
        <v>149</v>
      </c>
      <c r="C146" t="s">
        <v>49</v>
      </c>
      <c r="D146" t="str">
        <f>_xlfn.CONCAT(tblEmployees[[#This Row],[First_Name]]," ",tblEmployees[[#This Row],[Last_Name]])</f>
        <v>Komal Verma</v>
      </c>
      <c r="E146" t="s">
        <v>14</v>
      </c>
      <c r="F146" t="s">
        <v>15</v>
      </c>
      <c r="G146" t="s">
        <v>16</v>
      </c>
      <c r="H146" t="s">
        <v>536</v>
      </c>
      <c r="I146" t="s">
        <v>537</v>
      </c>
      <c r="J146" s="2">
        <v>45437</v>
      </c>
      <c r="K146" t="s">
        <v>54</v>
      </c>
      <c r="L146" t="s">
        <v>20</v>
      </c>
    </row>
    <row r="147" spans="1:12">
      <c r="A147" t="s">
        <v>538</v>
      </c>
      <c r="B147" t="s">
        <v>155</v>
      </c>
      <c r="C147" t="s">
        <v>58</v>
      </c>
      <c r="D147" t="str">
        <f>_xlfn.CONCAT(tblEmployees[[#This Row],[First_Name]]," ",tblEmployees[[#This Row],[Last_Name]])</f>
        <v>Sameer Joshi</v>
      </c>
      <c r="E147" t="s">
        <v>24</v>
      </c>
      <c r="F147" t="s">
        <v>25</v>
      </c>
      <c r="G147" t="s">
        <v>26</v>
      </c>
      <c r="H147" t="s">
        <v>539</v>
      </c>
      <c r="I147" t="s">
        <v>540</v>
      </c>
      <c r="J147" s="2">
        <v>45438</v>
      </c>
      <c r="K147" t="s">
        <v>63</v>
      </c>
      <c r="L147" t="s">
        <v>20</v>
      </c>
    </row>
    <row r="148" spans="1:12">
      <c r="A148" t="s">
        <v>541</v>
      </c>
      <c r="B148" t="s">
        <v>160</v>
      </c>
      <c r="C148" t="s">
        <v>66</v>
      </c>
      <c r="D148" t="str">
        <f>_xlfn.CONCAT(tblEmployees[[#This Row],[First_Name]]," ",tblEmployees[[#This Row],[Last_Name]])</f>
        <v>Farhan Kulkarni</v>
      </c>
      <c r="E148" t="s">
        <v>14</v>
      </c>
      <c r="F148" t="s">
        <v>33</v>
      </c>
      <c r="G148" t="s">
        <v>34</v>
      </c>
      <c r="H148" t="s">
        <v>542</v>
      </c>
      <c r="I148" t="s">
        <v>543</v>
      </c>
      <c r="J148" s="2">
        <v>45439</v>
      </c>
      <c r="K148" t="s">
        <v>71</v>
      </c>
      <c r="L148" t="s">
        <v>20</v>
      </c>
    </row>
    <row r="149" spans="1:12">
      <c r="A149" t="s">
        <v>544</v>
      </c>
      <c r="B149" t="s">
        <v>165</v>
      </c>
      <c r="C149" t="s">
        <v>74</v>
      </c>
      <c r="D149" t="str">
        <f>_xlfn.CONCAT(tblEmployees[[#This Row],[First_Name]]," ",tblEmployees[[#This Row],[Last_Name]])</f>
        <v>Isha Shaikh</v>
      </c>
      <c r="E149" t="s">
        <v>24</v>
      </c>
      <c r="F149" t="s">
        <v>41</v>
      </c>
      <c r="G149" t="s">
        <v>42</v>
      </c>
      <c r="H149" t="s">
        <v>545</v>
      </c>
      <c r="I149" t="s">
        <v>546</v>
      </c>
      <c r="J149" s="2">
        <v>45440</v>
      </c>
      <c r="K149" t="s">
        <v>79</v>
      </c>
      <c r="L149" t="s">
        <v>46</v>
      </c>
    </row>
    <row r="150" spans="1:12">
      <c r="A150" t="s">
        <v>547</v>
      </c>
      <c r="B150" t="s">
        <v>170</v>
      </c>
      <c r="C150" t="s">
        <v>82</v>
      </c>
      <c r="D150" t="str">
        <f>_xlfn.CONCAT(tblEmployees[[#This Row],[First_Name]]," ",tblEmployees[[#This Row],[Last_Name]])</f>
        <v>Sonia Khan</v>
      </c>
      <c r="E150" t="s">
        <v>14</v>
      </c>
      <c r="F150" t="s">
        <v>50</v>
      </c>
      <c r="G150" t="s">
        <v>51</v>
      </c>
      <c r="H150" t="s">
        <v>548</v>
      </c>
      <c r="I150" t="s">
        <v>549</v>
      </c>
      <c r="J150" s="2">
        <v>45441</v>
      </c>
      <c r="K150" t="s">
        <v>86</v>
      </c>
      <c r="L150" t="s">
        <v>55</v>
      </c>
    </row>
    <row r="151" spans="1:12">
      <c r="A151" t="s">
        <v>550</v>
      </c>
      <c r="B151" t="s">
        <v>175</v>
      </c>
      <c r="C151" t="s">
        <v>89</v>
      </c>
      <c r="D151" t="str">
        <f>_xlfn.CONCAT(tblEmployees[[#This Row],[First_Name]]," ",tblEmployees[[#This Row],[Last_Name]])</f>
        <v>Akash Yadav</v>
      </c>
      <c r="E151" t="s">
        <v>24</v>
      </c>
      <c r="F151" t="s">
        <v>59</v>
      </c>
      <c r="G151" t="s">
        <v>60</v>
      </c>
      <c r="H151" t="s">
        <v>551</v>
      </c>
      <c r="I151" t="s">
        <v>552</v>
      </c>
      <c r="J151" s="2">
        <v>45442</v>
      </c>
      <c r="K151" t="s">
        <v>93</v>
      </c>
      <c r="L151" t="s">
        <v>20</v>
      </c>
    </row>
    <row r="152" spans="1:12">
      <c r="A152" t="s">
        <v>553</v>
      </c>
      <c r="B152" t="s">
        <v>12</v>
      </c>
      <c r="C152" t="s">
        <v>96</v>
      </c>
      <c r="D152" t="str">
        <f>_xlfn.CONCAT(tblEmployees[[#This Row],[First_Name]]," ",tblEmployees[[#This Row],[Last_Name]])</f>
        <v>Rahul More</v>
      </c>
      <c r="E152" t="s">
        <v>14</v>
      </c>
      <c r="F152" t="s">
        <v>67</v>
      </c>
      <c r="G152" t="s">
        <v>68</v>
      </c>
      <c r="H152" t="s">
        <v>554</v>
      </c>
      <c r="I152" t="s">
        <v>555</v>
      </c>
      <c r="J152" s="2">
        <v>45443</v>
      </c>
      <c r="K152" t="s">
        <v>19</v>
      </c>
      <c r="L152" t="s">
        <v>20</v>
      </c>
    </row>
    <row r="153" spans="1:12">
      <c r="A153" t="s">
        <v>556</v>
      </c>
      <c r="B153" t="s">
        <v>22</v>
      </c>
      <c r="C153" t="s">
        <v>102</v>
      </c>
      <c r="D153" t="str">
        <f>_xlfn.CONCAT(tblEmployees[[#This Row],[First_Name]]," ",tblEmployees[[#This Row],[Last_Name]])</f>
        <v>Priya Jadhav</v>
      </c>
      <c r="E153" t="s">
        <v>24</v>
      </c>
      <c r="F153" t="s">
        <v>75</v>
      </c>
      <c r="G153" t="s">
        <v>76</v>
      </c>
      <c r="H153" t="s">
        <v>557</v>
      </c>
      <c r="I153" t="s">
        <v>558</v>
      </c>
      <c r="J153" s="2">
        <v>45444</v>
      </c>
      <c r="K153" t="s">
        <v>29</v>
      </c>
      <c r="L153" t="s">
        <v>20</v>
      </c>
    </row>
    <row r="154" spans="1:12">
      <c r="A154" t="s">
        <v>559</v>
      </c>
      <c r="B154" t="s">
        <v>31</v>
      </c>
      <c r="C154" t="s">
        <v>108</v>
      </c>
      <c r="D154" t="str">
        <f>_xlfn.CONCAT(tblEmployees[[#This Row],[First_Name]]," ",tblEmployees[[#This Row],[Last_Name]])</f>
        <v>Amit Patil</v>
      </c>
      <c r="E154" t="s">
        <v>14</v>
      </c>
      <c r="F154" t="s">
        <v>15</v>
      </c>
      <c r="G154" t="s">
        <v>83</v>
      </c>
      <c r="H154" t="s">
        <v>560</v>
      </c>
      <c r="I154" t="s">
        <v>561</v>
      </c>
      <c r="J154" s="2">
        <v>45445</v>
      </c>
      <c r="K154" t="s">
        <v>37</v>
      </c>
      <c r="L154" t="s">
        <v>20</v>
      </c>
    </row>
    <row r="155" spans="1:12">
      <c r="A155" t="s">
        <v>562</v>
      </c>
      <c r="B155" t="s">
        <v>39</v>
      </c>
      <c r="C155" t="s">
        <v>114</v>
      </c>
      <c r="D155" t="str">
        <f>_xlfn.CONCAT(tblEmployees[[#This Row],[First_Name]]," ",tblEmployees[[#This Row],[Last_Name]])</f>
        <v>Sneha Deshmukh</v>
      </c>
      <c r="E155" t="s">
        <v>24</v>
      </c>
      <c r="F155" t="s">
        <v>25</v>
      </c>
      <c r="G155" t="s">
        <v>90</v>
      </c>
      <c r="H155" t="s">
        <v>563</v>
      </c>
      <c r="I155" t="s">
        <v>564</v>
      </c>
      <c r="J155" s="2">
        <v>45446</v>
      </c>
      <c r="K155" t="s">
        <v>45</v>
      </c>
      <c r="L155" t="s">
        <v>46</v>
      </c>
    </row>
    <row r="156" spans="1:12">
      <c r="A156" t="s">
        <v>565</v>
      </c>
      <c r="B156" t="s">
        <v>48</v>
      </c>
      <c r="C156" t="s">
        <v>120</v>
      </c>
      <c r="D156" t="str">
        <f>_xlfn.CONCAT(tblEmployees[[#This Row],[First_Name]]," ",tblEmployees[[#This Row],[Last_Name]])</f>
        <v>Rohan Shinde</v>
      </c>
      <c r="E156" t="s">
        <v>14</v>
      </c>
      <c r="F156" t="s">
        <v>33</v>
      </c>
      <c r="G156" t="s">
        <v>97</v>
      </c>
      <c r="H156" t="s">
        <v>566</v>
      </c>
      <c r="I156" t="s">
        <v>567</v>
      </c>
      <c r="J156" s="2">
        <v>45447</v>
      </c>
      <c r="K156" t="s">
        <v>54</v>
      </c>
      <c r="L156" t="s">
        <v>55</v>
      </c>
    </row>
    <row r="157" spans="1:12">
      <c r="A157" t="s">
        <v>568</v>
      </c>
      <c r="B157" t="s">
        <v>57</v>
      </c>
      <c r="C157" t="s">
        <v>126</v>
      </c>
      <c r="D157" t="str">
        <f>_xlfn.CONCAT(tblEmployees[[#This Row],[First_Name]]," ",tblEmployees[[#This Row],[Last_Name]])</f>
        <v>Pooja Mane</v>
      </c>
      <c r="E157" t="s">
        <v>24</v>
      </c>
      <c r="F157" t="s">
        <v>41</v>
      </c>
      <c r="G157" t="s">
        <v>103</v>
      </c>
      <c r="H157" t="s">
        <v>569</v>
      </c>
      <c r="I157" t="s">
        <v>570</v>
      </c>
      <c r="J157" s="2">
        <v>45448</v>
      </c>
      <c r="K157" t="s">
        <v>63</v>
      </c>
      <c r="L157" t="s">
        <v>20</v>
      </c>
    </row>
    <row r="158" spans="1:12">
      <c r="A158" t="s">
        <v>571</v>
      </c>
      <c r="B158" t="s">
        <v>65</v>
      </c>
      <c r="C158" t="s">
        <v>132</v>
      </c>
      <c r="D158" t="str">
        <f>_xlfn.CONCAT(tblEmployees[[#This Row],[First_Name]]," ",tblEmployees[[#This Row],[Last_Name]])</f>
        <v>Arjun Chavan</v>
      </c>
      <c r="E158" t="s">
        <v>14</v>
      </c>
      <c r="F158" t="s">
        <v>50</v>
      </c>
      <c r="G158" t="s">
        <v>109</v>
      </c>
      <c r="H158" t="s">
        <v>572</v>
      </c>
      <c r="I158" t="s">
        <v>573</v>
      </c>
      <c r="J158" s="2">
        <v>45449</v>
      </c>
      <c r="K158" t="s">
        <v>71</v>
      </c>
      <c r="L158" t="s">
        <v>20</v>
      </c>
    </row>
    <row r="159" spans="1:12">
      <c r="A159" t="s">
        <v>574</v>
      </c>
      <c r="B159" t="s">
        <v>73</v>
      </c>
      <c r="C159" t="s">
        <v>138</v>
      </c>
      <c r="D159" t="str">
        <f>_xlfn.CONCAT(tblEmployees[[#This Row],[First_Name]]," ",tblEmployees[[#This Row],[Last_Name]])</f>
        <v>Neha Ansari</v>
      </c>
      <c r="E159" t="s">
        <v>24</v>
      </c>
      <c r="F159" t="s">
        <v>59</v>
      </c>
      <c r="G159" t="s">
        <v>115</v>
      </c>
      <c r="H159" t="s">
        <v>575</v>
      </c>
      <c r="I159" t="s">
        <v>576</v>
      </c>
      <c r="J159" s="2">
        <v>45450</v>
      </c>
      <c r="K159" t="s">
        <v>79</v>
      </c>
      <c r="L159" t="s">
        <v>20</v>
      </c>
    </row>
    <row r="160" spans="1:12">
      <c r="A160" t="s">
        <v>577</v>
      </c>
      <c r="B160" t="s">
        <v>81</v>
      </c>
      <c r="C160" t="s">
        <v>144</v>
      </c>
      <c r="D160" t="str">
        <f>_xlfn.CONCAT(tblEmployees[[#This Row],[First_Name]]," ",tblEmployees[[#This Row],[Last_Name]])</f>
        <v>Karan Rathod</v>
      </c>
      <c r="E160" t="s">
        <v>14</v>
      </c>
      <c r="F160" t="s">
        <v>67</v>
      </c>
      <c r="G160" t="s">
        <v>121</v>
      </c>
      <c r="H160" t="s">
        <v>578</v>
      </c>
      <c r="I160" t="s">
        <v>579</v>
      </c>
      <c r="J160" s="2">
        <v>45451</v>
      </c>
      <c r="K160" t="s">
        <v>86</v>
      </c>
      <c r="L160" t="s">
        <v>20</v>
      </c>
    </row>
    <row r="161" spans="1:12">
      <c r="A161" t="s">
        <v>580</v>
      </c>
      <c r="B161" t="s">
        <v>88</v>
      </c>
      <c r="C161" t="s">
        <v>150</v>
      </c>
      <c r="D161" t="str">
        <f>_xlfn.CONCAT(tblEmployees[[#This Row],[First_Name]]," ",tblEmployees[[#This Row],[Last_Name]])</f>
        <v>Anjali Pawar</v>
      </c>
      <c r="E161" t="s">
        <v>24</v>
      </c>
      <c r="F161" t="s">
        <v>75</v>
      </c>
      <c r="G161" t="s">
        <v>127</v>
      </c>
      <c r="H161" t="s">
        <v>581</v>
      </c>
      <c r="I161" t="s">
        <v>582</v>
      </c>
      <c r="J161" s="2">
        <v>45452</v>
      </c>
      <c r="K161" t="s">
        <v>93</v>
      </c>
      <c r="L161" t="s">
        <v>46</v>
      </c>
    </row>
    <row r="162" spans="1:12">
      <c r="A162" t="s">
        <v>583</v>
      </c>
      <c r="B162" t="s">
        <v>95</v>
      </c>
      <c r="C162" t="s">
        <v>13</v>
      </c>
      <c r="D162" t="str">
        <f>_xlfn.CONCAT(tblEmployees[[#This Row],[First_Name]]," ",tblEmployees[[#This Row],[Last_Name]])</f>
        <v>Vikas Sharma</v>
      </c>
      <c r="E162" t="s">
        <v>14</v>
      </c>
      <c r="F162" t="s">
        <v>15</v>
      </c>
      <c r="G162" t="s">
        <v>133</v>
      </c>
      <c r="H162" t="s">
        <v>584</v>
      </c>
      <c r="I162" t="s">
        <v>585</v>
      </c>
      <c r="J162" s="2">
        <v>45453</v>
      </c>
      <c r="K162" t="s">
        <v>19</v>
      </c>
      <c r="L162" t="s">
        <v>55</v>
      </c>
    </row>
    <row r="163" spans="1:12">
      <c r="A163" t="s">
        <v>586</v>
      </c>
      <c r="B163" t="s">
        <v>101</v>
      </c>
      <c r="C163" t="s">
        <v>23</v>
      </c>
      <c r="D163" t="str">
        <f>_xlfn.CONCAT(tblEmployees[[#This Row],[First_Name]]," ",tblEmployees[[#This Row],[Last_Name]])</f>
        <v>Meera Patel</v>
      </c>
      <c r="E163" t="s">
        <v>24</v>
      </c>
      <c r="F163" t="s">
        <v>25</v>
      </c>
      <c r="G163" t="s">
        <v>139</v>
      </c>
      <c r="H163" t="s">
        <v>587</v>
      </c>
      <c r="I163" t="s">
        <v>588</v>
      </c>
      <c r="J163" s="2">
        <v>45454</v>
      </c>
      <c r="K163" t="s">
        <v>29</v>
      </c>
      <c r="L163" t="s">
        <v>20</v>
      </c>
    </row>
    <row r="164" spans="1:12">
      <c r="A164" t="s">
        <v>589</v>
      </c>
      <c r="B164" t="s">
        <v>107</v>
      </c>
      <c r="C164" t="s">
        <v>32</v>
      </c>
      <c r="D164" t="str">
        <f>_xlfn.CONCAT(tblEmployees[[#This Row],[First_Name]]," ",tblEmployees[[#This Row],[Last_Name]])</f>
        <v>Sahil Gupta</v>
      </c>
      <c r="E164" t="s">
        <v>14</v>
      </c>
      <c r="F164" t="s">
        <v>33</v>
      </c>
      <c r="G164" t="s">
        <v>145</v>
      </c>
      <c r="H164" t="s">
        <v>590</v>
      </c>
      <c r="I164" t="s">
        <v>591</v>
      </c>
      <c r="J164" s="2">
        <v>45455</v>
      </c>
      <c r="K164" t="s">
        <v>37</v>
      </c>
      <c r="L164" t="s">
        <v>20</v>
      </c>
    </row>
    <row r="165" spans="1:12">
      <c r="A165" t="s">
        <v>592</v>
      </c>
      <c r="B165" t="s">
        <v>113</v>
      </c>
      <c r="C165" t="s">
        <v>40</v>
      </c>
      <c r="D165" t="str">
        <f>_xlfn.CONCAT(tblEmployees[[#This Row],[First_Name]]," ",tblEmployees[[#This Row],[Last_Name]])</f>
        <v>Aisha Singh</v>
      </c>
      <c r="E165" t="s">
        <v>24</v>
      </c>
      <c r="F165" t="s">
        <v>41</v>
      </c>
      <c r="G165" t="s">
        <v>151</v>
      </c>
      <c r="H165" t="s">
        <v>593</v>
      </c>
      <c r="I165" t="s">
        <v>594</v>
      </c>
      <c r="J165" s="2">
        <v>45456</v>
      </c>
      <c r="K165" t="s">
        <v>45</v>
      </c>
      <c r="L165" t="s">
        <v>20</v>
      </c>
    </row>
    <row r="166" spans="1:12">
      <c r="A166" t="s">
        <v>595</v>
      </c>
      <c r="B166" t="s">
        <v>119</v>
      </c>
      <c r="C166" t="s">
        <v>49</v>
      </c>
      <c r="D166" t="str">
        <f>_xlfn.CONCAT(tblEmployees[[#This Row],[First_Name]]," ",tblEmployees[[#This Row],[Last_Name]])</f>
        <v>Riya Verma</v>
      </c>
      <c r="E166" t="s">
        <v>14</v>
      </c>
      <c r="F166" t="s">
        <v>50</v>
      </c>
      <c r="G166" t="s">
        <v>156</v>
      </c>
      <c r="H166" t="s">
        <v>596</v>
      </c>
      <c r="I166" t="s">
        <v>597</v>
      </c>
      <c r="J166" s="2">
        <v>45457</v>
      </c>
      <c r="K166" t="s">
        <v>54</v>
      </c>
      <c r="L166" t="s">
        <v>20</v>
      </c>
    </row>
    <row r="167" spans="1:12">
      <c r="A167" t="s">
        <v>598</v>
      </c>
      <c r="B167" t="s">
        <v>125</v>
      </c>
      <c r="C167" t="s">
        <v>58</v>
      </c>
      <c r="D167" t="str">
        <f>_xlfn.CONCAT(tblEmployees[[#This Row],[First_Name]]," ",tblEmployees[[#This Row],[Last_Name]])</f>
        <v>Vivek Joshi</v>
      </c>
      <c r="E167" t="s">
        <v>24</v>
      </c>
      <c r="F167" t="s">
        <v>59</v>
      </c>
      <c r="G167" t="s">
        <v>161</v>
      </c>
      <c r="H167" t="s">
        <v>599</v>
      </c>
      <c r="I167" t="s">
        <v>600</v>
      </c>
      <c r="J167" s="2">
        <v>45458</v>
      </c>
      <c r="K167" t="s">
        <v>63</v>
      </c>
      <c r="L167" t="s">
        <v>46</v>
      </c>
    </row>
    <row r="168" spans="1:12">
      <c r="A168" t="s">
        <v>601</v>
      </c>
      <c r="B168" t="s">
        <v>131</v>
      </c>
      <c r="C168" t="s">
        <v>66</v>
      </c>
      <c r="D168" t="str">
        <f>_xlfn.CONCAT(tblEmployees[[#This Row],[First_Name]]," ",tblEmployees[[#This Row],[Last_Name]])</f>
        <v>Aditya Kulkarni</v>
      </c>
      <c r="E168" t="s">
        <v>14</v>
      </c>
      <c r="F168" t="s">
        <v>67</v>
      </c>
      <c r="G168" t="s">
        <v>166</v>
      </c>
      <c r="H168" t="s">
        <v>602</v>
      </c>
      <c r="I168" t="s">
        <v>603</v>
      </c>
      <c r="J168" s="2">
        <v>45459</v>
      </c>
      <c r="K168" t="s">
        <v>71</v>
      </c>
      <c r="L168" t="s">
        <v>55</v>
      </c>
    </row>
    <row r="169" spans="1:12">
      <c r="A169" t="s">
        <v>604</v>
      </c>
      <c r="B169" t="s">
        <v>137</v>
      </c>
      <c r="C169" t="s">
        <v>74</v>
      </c>
      <c r="D169" t="str">
        <f>_xlfn.CONCAT(tblEmployees[[#This Row],[First_Name]]," ",tblEmployees[[#This Row],[Last_Name]])</f>
        <v>Nisha Shaikh</v>
      </c>
      <c r="E169" t="s">
        <v>24</v>
      </c>
      <c r="F169" t="s">
        <v>75</v>
      </c>
      <c r="G169" t="s">
        <v>171</v>
      </c>
      <c r="H169" t="s">
        <v>605</v>
      </c>
      <c r="I169" t="s">
        <v>606</v>
      </c>
      <c r="J169" s="2">
        <v>45460</v>
      </c>
      <c r="K169" t="s">
        <v>79</v>
      </c>
      <c r="L169" t="s">
        <v>20</v>
      </c>
    </row>
    <row r="170" spans="1:12">
      <c r="A170" t="s">
        <v>607</v>
      </c>
      <c r="B170" t="s">
        <v>143</v>
      </c>
      <c r="C170" t="s">
        <v>82</v>
      </c>
      <c r="D170" t="str">
        <f>_xlfn.CONCAT(tblEmployees[[#This Row],[First_Name]]," ",tblEmployees[[#This Row],[Last_Name]])</f>
        <v>Deepak Khan</v>
      </c>
      <c r="E170" t="s">
        <v>14</v>
      </c>
      <c r="F170" t="s">
        <v>15</v>
      </c>
      <c r="G170" t="s">
        <v>16</v>
      </c>
      <c r="H170" t="s">
        <v>608</v>
      </c>
      <c r="I170" t="s">
        <v>609</v>
      </c>
      <c r="J170" s="2">
        <v>45461</v>
      </c>
      <c r="K170" t="s">
        <v>86</v>
      </c>
      <c r="L170" t="s">
        <v>20</v>
      </c>
    </row>
    <row r="171" spans="1:12">
      <c r="A171" t="s">
        <v>610</v>
      </c>
      <c r="B171" t="s">
        <v>149</v>
      </c>
      <c r="C171" t="s">
        <v>89</v>
      </c>
      <c r="D171" t="str">
        <f>_xlfn.CONCAT(tblEmployees[[#This Row],[First_Name]]," ",tblEmployees[[#This Row],[Last_Name]])</f>
        <v>Komal Yadav</v>
      </c>
      <c r="E171" t="s">
        <v>24</v>
      </c>
      <c r="F171" t="s">
        <v>25</v>
      </c>
      <c r="G171" t="s">
        <v>26</v>
      </c>
      <c r="H171" t="s">
        <v>611</v>
      </c>
      <c r="I171" t="s">
        <v>612</v>
      </c>
      <c r="J171" s="2">
        <v>45462</v>
      </c>
      <c r="K171" t="s">
        <v>93</v>
      </c>
      <c r="L171" t="s">
        <v>20</v>
      </c>
    </row>
    <row r="172" spans="1:12">
      <c r="A172" t="s">
        <v>613</v>
      </c>
      <c r="B172" t="s">
        <v>155</v>
      </c>
      <c r="C172" t="s">
        <v>96</v>
      </c>
      <c r="D172" t="str">
        <f>_xlfn.CONCAT(tblEmployees[[#This Row],[First_Name]]," ",tblEmployees[[#This Row],[Last_Name]])</f>
        <v>Sameer More</v>
      </c>
      <c r="E172" t="s">
        <v>14</v>
      </c>
      <c r="F172" t="s">
        <v>33</v>
      </c>
      <c r="G172" t="s">
        <v>34</v>
      </c>
      <c r="H172" t="s">
        <v>614</v>
      </c>
      <c r="I172" t="s">
        <v>615</v>
      </c>
      <c r="J172" s="2">
        <v>45463</v>
      </c>
      <c r="K172" t="s">
        <v>19</v>
      </c>
      <c r="L172" t="s">
        <v>20</v>
      </c>
    </row>
    <row r="173" spans="1:12">
      <c r="A173" t="s">
        <v>616</v>
      </c>
      <c r="B173" t="s">
        <v>160</v>
      </c>
      <c r="C173" t="s">
        <v>102</v>
      </c>
      <c r="D173" t="str">
        <f>_xlfn.CONCAT(tblEmployees[[#This Row],[First_Name]]," ",tblEmployees[[#This Row],[Last_Name]])</f>
        <v>Farhan Jadhav</v>
      </c>
      <c r="E173" t="s">
        <v>24</v>
      </c>
      <c r="F173" t="s">
        <v>41</v>
      </c>
      <c r="G173" t="s">
        <v>42</v>
      </c>
      <c r="H173" t="s">
        <v>617</v>
      </c>
      <c r="I173" t="s">
        <v>618</v>
      </c>
      <c r="J173" s="2">
        <v>45464</v>
      </c>
      <c r="K173" t="s">
        <v>29</v>
      </c>
      <c r="L173" t="s">
        <v>46</v>
      </c>
    </row>
    <row r="174" spans="1:12">
      <c r="A174" t="s">
        <v>619</v>
      </c>
      <c r="B174" t="s">
        <v>165</v>
      </c>
      <c r="C174" t="s">
        <v>108</v>
      </c>
      <c r="D174" t="str">
        <f>_xlfn.CONCAT(tblEmployees[[#This Row],[First_Name]]," ",tblEmployees[[#This Row],[Last_Name]])</f>
        <v>Isha Patil</v>
      </c>
      <c r="E174" t="s">
        <v>14</v>
      </c>
      <c r="F174" t="s">
        <v>50</v>
      </c>
      <c r="G174" t="s">
        <v>51</v>
      </c>
      <c r="H174" t="s">
        <v>620</v>
      </c>
      <c r="I174" t="s">
        <v>621</v>
      </c>
      <c r="J174" s="2">
        <v>45465</v>
      </c>
      <c r="K174" t="s">
        <v>37</v>
      </c>
      <c r="L174" t="s">
        <v>55</v>
      </c>
    </row>
    <row r="175" spans="1:12">
      <c r="A175" t="s">
        <v>622</v>
      </c>
      <c r="B175" t="s">
        <v>170</v>
      </c>
      <c r="C175" t="s">
        <v>114</v>
      </c>
      <c r="D175" t="str">
        <f>_xlfn.CONCAT(tblEmployees[[#This Row],[First_Name]]," ",tblEmployees[[#This Row],[Last_Name]])</f>
        <v>Sonia Deshmukh</v>
      </c>
      <c r="E175" t="s">
        <v>24</v>
      </c>
      <c r="F175" t="s">
        <v>59</v>
      </c>
      <c r="G175" t="s">
        <v>60</v>
      </c>
      <c r="H175" t="s">
        <v>623</v>
      </c>
      <c r="I175" t="s">
        <v>624</v>
      </c>
      <c r="J175" s="2">
        <v>45466</v>
      </c>
      <c r="K175" t="s">
        <v>45</v>
      </c>
      <c r="L175" t="s">
        <v>20</v>
      </c>
    </row>
    <row r="176" spans="1:12">
      <c r="A176" t="s">
        <v>625</v>
      </c>
      <c r="B176" t="s">
        <v>175</v>
      </c>
      <c r="C176" t="s">
        <v>120</v>
      </c>
      <c r="D176" t="str">
        <f>_xlfn.CONCAT(tblEmployees[[#This Row],[First_Name]]," ",tblEmployees[[#This Row],[Last_Name]])</f>
        <v>Akash Shinde</v>
      </c>
      <c r="E176" t="s">
        <v>14</v>
      </c>
      <c r="F176" t="s">
        <v>67</v>
      </c>
      <c r="G176" t="s">
        <v>68</v>
      </c>
      <c r="H176" t="s">
        <v>626</v>
      </c>
      <c r="I176" t="s">
        <v>627</v>
      </c>
      <c r="J176" s="2">
        <v>45467</v>
      </c>
      <c r="K176" t="s">
        <v>54</v>
      </c>
      <c r="L176" t="s">
        <v>20</v>
      </c>
    </row>
    <row r="177" spans="1:12">
      <c r="A177" t="s">
        <v>628</v>
      </c>
      <c r="B177" t="s">
        <v>12</v>
      </c>
      <c r="C177" t="s">
        <v>126</v>
      </c>
      <c r="D177" t="str">
        <f>_xlfn.CONCAT(tblEmployees[[#This Row],[First_Name]]," ",tblEmployees[[#This Row],[Last_Name]])</f>
        <v>Rahul Mane</v>
      </c>
      <c r="E177" t="s">
        <v>24</v>
      </c>
      <c r="F177" t="s">
        <v>75</v>
      </c>
      <c r="G177" t="s">
        <v>76</v>
      </c>
      <c r="H177" t="s">
        <v>629</v>
      </c>
      <c r="I177" t="s">
        <v>630</v>
      </c>
      <c r="J177" s="2">
        <v>45468</v>
      </c>
      <c r="K177" t="s">
        <v>63</v>
      </c>
      <c r="L177" t="s">
        <v>20</v>
      </c>
    </row>
    <row r="178" spans="1:12">
      <c r="A178" t="s">
        <v>631</v>
      </c>
      <c r="B178" t="s">
        <v>22</v>
      </c>
      <c r="C178" t="s">
        <v>132</v>
      </c>
      <c r="D178" t="str">
        <f>_xlfn.CONCAT(tblEmployees[[#This Row],[First_Name]]," ",tblEmployees[[#This Row],[Last_Name]])</f>
        <v>Priya Chavan</v>
      </c>
      <c r="E178" t="s">
        <v>14</v>
      </c>
      <c r="F178" t="s">
        <v>15</v>
      </c>
      <c r="G178" t="s">
        <v>83</v>
      </c>
      <c r="H178" t="s">
        <v>632</v>
      </c>
      <c r="I178" t="s">
        <v>633</v>
      </c>
      <c r="J178" s="2">
        <v>45469</v>
      </c>
      <c r="K178" t="s">
        <v>71</v>
      </c>
      <c r="L178" t="s">
        <v>20</v>
      </c>
    </row>
    <row r="179" spans="1:12">
      <c r="A179" t="s">
        <v>634</v>
      </c>
      <c r="B179" t="s">
        <v>31</v>
      </c>
      <c r="C179" t="s">
        <v>138</v>
      </c>
      <c r="D179" t="str">
        <f>_xlfn.CONCAT(tblEmployees[[#This Row],[First_Name]]," ",tblEmployees[[#This Row],[Last_Name]])</f>
        <v>Amit Ansari</v>
      </c>
      <c r="E179" t="s">
        <v>24</v>
      </c>
      <c r="F179" t="s">
        <v>25</v>
      </c>
      <c r="G179" t="s">
        <v>90</v>
      </c>
      <c r="H179" t="s">
        <v>635</v>
      </c>
      <c r="I179" t="s">
        <v>636</v>
      </c>
      <c r="J179" s="2">
        <v>45470</v>
      </c>
      <c r="K179" t="s">
        <v>79</v>
      </c>
      <c r="L179" t="s">
        <v>46</v>
      </c>
    </row>
    <row r="180" spans="1:12">
      <c r="A180" t="s">
        <v>637</v>
      </c>
      <c r="B180" t="s">
        <v>39</v>
      </c>
      <c r="C180" t="s">
        <v>144</v>
      </c>
      <c r="D180" t="str">
        <f>_xlfn.CONCAT(tblEmployees[[#This Row],[First_Name]]," ",tblEmployees[[#This Row],[Last_Name]])</f>
        <v>Sneha Rathod</v>
      </c>
      <c r="E180" t="s">
        <v>14</v>
      </c>
      <c r="F180" t="s">
        <v>33</v>
      </c>
      <c r="G180" t="s">
        <v>97</v>
      </c>
      <c r="H180" t="s">
        <v>638</v>
      </c>
      <c r="I180" t="s">
        <v>639</v>
      </c>
      <c r="J180" s="2">
        <v>45471</v>
      </c>
      <c r="K180" t="s">
        <v>86</v>
      </c>
      <c r="L180" t="s">
        <v>55</v>
      </c>
    </row>
    <row r="181" spans="1:12">
      <c r="A181" t="s">
        <v>640</v>
      </c>
      <c r="B181" t="s">
        <v>48</v>
      </c>
      <c r="C181" t="s">
        <v>150</v>
      </c>
      <c r="D181" t="str">
        <f>_xlfn.CONCAT(tblEmployees[[#This Row],[First_Name]]," ",tblEmployees[[#This Row],[Last_Name]])</f>
        <v>Rohan Pawar</v>
      </c>
      <c r="E181" t="s">
        <v>24</v>
      </c>
      <c r="F181" t="s">
        <v>41</v>
      </c>
      <c r="G181" t="s">
        <v>103</v>
      </c>
      <c r="H181" t="s">
        <v>641</v>
      </c>
      <c r="I181" t="s">
        <v>642</v>
      </c>
      <c r="J181" s="2">
        <v>45472</v>
      </c>
      <c r="K181" t="s">
        <v>93</v>
      </c>
      <c r="L181" t="s">
        <v>20</v>
      </c>
    </row>
    <row r="182" spans="1:12">
      <c r="A182" t="s">
        <v>643</v>
      </c>
      <c r="B182" t="s">
        <v>57</v>
      </c>
      <c r="C182" t="s">
        <v>13</v>
      </c>
      <c r="D182" t="str">
        <f>_xlfn.CONCAT(tblEmployees[[#This Row],[First_Name]]," ",tblEmployees[[#This Row],[Last_Name]])</f>
        <v>Pooja Sharma</v>
      </c>
      <c r="E182" t="s">
        <v>14</v>
      </c>
      <c r="F182" t="s">
        <v>50</v>
      </c>
      <c r="G182" t="s">
        <v>109</v>
      </c>
      <c r="H182" t="s">
        <v>644</v>
      </c>
      <c r="I182" t="s">
        <v>645</v>
      </c>
      <c r="J182" s="2">
        <v>45473</v>
      </c>
      <c r="K182" t="s">
        <v>19</v>
      </c>
      <c r="L182" t="s">
        <v>20</v>
      </c>
    </row>
    <row r="183" spans="1:12">
      <c r="A183" t="s">
        <v>646</v>
      </c>
      <c r="B183" t="s">
        <v>65</v>
      </c>
      <c r="C183" t="s">
        <v>23</v>
      </c>
      <c r="D183" t="str">
        <f>_xlfn.CONCAT(tblEmployees[[#This Row],[First_Name]]," ",tblEmployees[[#This Row],[Last_Name]])</f>
        <v>Arjun Patel</v>
      </c>
      <c r="E183" t="s">
        <v>24</v>
      </c>
      <c r="F183" t="s">
        <v>59</v>
      </c>
      <c r="G183" t="s">
        <v>115</v>
      </c>
      <c r="H183" t="s">
        <v>647</v>
      </c>
      <c r="I183" t="s">
        <v>648</v>
      </c>
      <c r="J183" s="2">
        <v>45474</v>
      </c>
      <c r="K183" t="s">
        <v>29</v>
      </c>
      <c r="L183" t="s">
        <v>20</v>
      </c>
    </row>
    <row r="184" spans="1:12">
      <c r="A184" t="s">
        <v>649</v>
      </c>
      <c r="B184" t="s">
        <v>73</v>
      </c>
      <c r="C184" t="s">
        <v>32</v>
      </c>
      <c r="D184" t="str">
        <f>_xlfn.CONCAT(tblEmployees[[#This Row],[First_Name]]," ",tblEmployees[[#This Row],[Last_Name]])</f>
        <v>Neha Gupta</v>
      </c>
      <c r="E184" t="s">
        <v>14</v>
      </c>
      <c r="F184" t="s">
        <v>67</v>
      </c>
      <c r="G184" t="s">
        <v>121</v>
      </c>
      <c r="H184" t="s">
        <v>650</v>
      </c>
      <c r="I184" t="s">
        <v>651</v>
      </c>
      <c r="J184" s="2">
        <v>45475</v>
      </c>
      <c r="K184" t="s">
        <v>37</v>
      </c>
      <c r="L184" t="s">
        <v>20</v>
      </c>
    </row>
    <row r="185" spans="1:12">
      <c r="A185" t="s">
        <v>652</v>
      </c>
      <c r="B185" t="s">
        <v>81</v>
      </c>
      <c r="C185" t="s">
        <v>40</v>
      </c>
      <c r="D185" t="str">
        <f>_xlfn.CONCAT(tblEmployees[[#This Row],[First_Name]]," ",tblEmployees[[#This Row],[Last_Name]])</f>
        <v>Karan Singh</v>
      </c>
      <c r="E185" t="s">
        <v>24</v>
      </c>
      <c r="F185" t="s">
        <v>75</v>
      </c>
      <c r="G185" t="s">
        <v>127</v>
      </c>
      <c r="H185" t="s">
        <v>653</v>
      </c>
      <c r="I185" t="s">
        <v>654</v>
      </c>
      <c r="J185" s="2">
        <v>45476</v>
      </c>
      <c r="K185" t="s">
        <v>45</v>
      </c>
      <c r="L185" t="s">
        <v>46</v>
      </c>
    </row>
    <row r="186" spans="1:12">
      <c r="A186" t="s">
        <v>655</v>
      </c>
      <c r="B186" t="s">
        <v>88</v>
      </c>
      <c r="C186" t="s">
        <v>49</v>
      </c>
      <c r="D186" t="str">
        <f>_xlfn.CONCAT(tblEmployees[[#This Row],[First_Name]]," ",tblEmployees[[#This Row],[Last_Name]])</f>
        <v>Anjali Verma</v>
      </c>
      <c r="E186" t="s">
        <v>14</v>
      </c>
      <c r="F186" t="s">
        <v>15</v>
      </c>
      <c r="G186" t="s">
        <v>133</v>
      </c>
      <c r="H186" t="s">
        <v>656</v>
      </c>
      <c r="I186" t="s">
        <v>657</v>
      </c>
      <c r="J186" s="2">
        <v>45477</v>
      </c>
      <c r="K186" t="s">
        <v>54</v>
      </c>
      <c r="L186" t="s">
        <v>55</v>
      </c>
    </row>
    <row r="187" spans="1:12">
      <c r="A187" t="s">
        <v>658</v>
      </c>
      <c r="B187" t="s">
        <v>95</v>
      </c>
      <c r="C187" t="s">
        <v>58</v>
      </c>
      <c r="D187" t="str">
        <f>_xlfn.CONCAT(tblEmployees[[#This Row],[First_Name]]," ",tblEmployees[[#This Row],[Last_Name]])</f>
        <v>Vikas Joshi</v>
      </c>
      <c r="E187" t="s">
        <v>24</v>
      </c>
      <c r="F187" t="s">
        <v>25</v>
      </c>
      <c r="G187" t="s">
        <v>139</v>
      </c>
      <c r="H187" t="s">
        <v>659</v>
      </c>
      <c r="I187" t="s">
        <v>660</v>
      </c>
      <c r="J187" s="2">
        <v>45478</v>
      </c>
      <c r="K187" t="s">
        <v>63</v>
      </c>
      <c r="L187" t="s">
        <v>20</v>
      </c>
    </row>
    <row r="188" spans="1:12">
      <c r="A188" t="s">
        <v>661</v>
      </c>
      <c r="B188" t="s">
        <v>101</v>
      </c>
      <c r="C188" t="s">
        <v>66</v>
      </c>
      <c r="D188" t="str">
        <f>_xlfn.CONCAT(tblEmployees[[#This Row],[First_Name]]," ",tblEmployees[[#This Row],[Last_Name]])</f>
        <v>Meera Kulkarni</v>
      </c>
      <c r="E188" t="s">
        <v>14</v>
      </c>
      <c r="F188" t="s">
        <v>33</v>
      </c>
      <c r="G188" t="s">
        <v>145</v>
      </c>
      <c r="H188" t="s">
        <v>662</v>
      </c>
      <c r="I188" t="s">
        <v>663</v>
      </c>
      <c r="J188" s="2">
        <v>45479</v>
      </c>
      <c r="K188" t="s">
        <v>71</v>
      </c>
      <c r="L188" t="s">
        <v>20</v>
      </c>
    </row>
    <row r="189" spans="1:12">
      <c r="A189" t="s">
        <v>664</v>
      </c>
      <c r="B189" t="s">
        <v>107</v>
      </c>
      <c r="C189" t="s">
        <v>74</v>
      </c>
      <c r="D189" t="str">
        <f>_xlfn.CONCAT(tblEmployees[[#This Row],[First_Name]]," ",tblEmployees[[#This Row],[Last_Name]])</f>
        <v>Sahil Shaikh</v>
      </c>
      <c r="E189" t="s">
        <v>24</v>
      </c>
      <c r="F189" t="s">
        <v>41</v>
      </c>
      <c r="G189" t="s">
        <v>151</v>
      </c>
      <c r="H189" t="s">
        <v>665</v>
      </c>
      <c r="I189" t="s">
        <v>666</v>
      </c>
      <c r="J189" s="2">
        <v>45480</v>
      </c>
      <c r="K189" t="s">
        <v>79</v>
      </c>
      <c r="L189" t="s">
        <v>20</v>
      </c>
    </row>
    <row r="190" spans="1:12">
      <c r="A190" t="s">
        <v>667</v>
      </c>
      <c r="B190" t="s">
        <v>113</v>
      </c>
      <c r="C190" t="s">
        <v>82</v>
      </c>
      <c r="D190" t="str">
        <f>_xlfn.CONCAT(tblEmployees[[#This Row],[First_Name]]," ",tblEmployees[[#This Row],[Last_Name]])</f>
        <v>Aisha Khan</v>
      </c>
      <c r="E190" t="s">
        <v>14</v>
      </c>
      <c r="F190" t="s">
        <v>50</v>
      </c>
      <c r="G190" t="s">
        <v>156</v>
      </c>
      <c r="H190" t="s">
        <v>668</v>
      </c>
      <c r="I190" t="s">
        <v>669</v>
      </c>
      <c r="J190" s="2">
        <v>45481</v>
      </c>
      <c r="K190" t="s">
        <v>86</v>
      </c>
      <c r="L190" t="s">
        <v>20</v>
      </c>
    </row>
    <row r="191" spans="1:12">
      <c r="A191" t="s">
        <v>670</v>
      </c>
      <c r="B191" t="s">
        <v>119</v>
      </c>
      <c r="C191" t="s">
        <v>89</v>
      </c>
      <c r="D191" t="str">
        <f>_xlfn.CONCAT(tblEmployees[[#This Row],[First_Name]]," ",tblEmployees[[#This Row],[Last_Name]])</f>
        <v>Riya Yadav</v>
      </c>
      <c r="E191" t="s">
        <v>24</v>
      </c>
      <c r="F191" t="s">
        <v>59</v>
      </c>
      <c r="G191" t="s">
        <v>161</v>
      </c>
      <c r="H191" t="s">
        <v>671</v>
      </c>
      <c r="I191" t="s">
        <v>672</v>
      </c>
      <c r="J191" s="2">
        <v>45482</v>
      </c>
      <c r="K191" t="s">
        <v>93</v>
      </c>
      <c r="L191" t="s">
        <v>46</v>
      </c>
    </row>
    <row r="192" spans="1:12">
      <c r="A192" t="s">
        <v>673</v>
      </c>
      <c r="B192" t="s">
        <v>125</v>
      </c>
      <c r="C192" t="s">
        <v>96</v>
      </c>
      <c r="D192" t="str">
        <f>_xlfn.CONCAT(tblEmployees[[#This Row],[First_Name]]," ",tblEmployees[[#This Row],[Last_Name]])</f>
        <v>Vivek More</v>
      </c>
      <c r="E192" t="s">
        <v>14</v>
      </c>
      <c r="F192" t="s">
        <v>67</v>
      </c>
      <c r="G192" t="s">
        <v>166</v>
      </c>
      <c r="H192" t="s">
        <v>674</v>
      </c>
      <c r="I192" t="s">
        <v>675</v>
      </c>
      <c r="J192" s="2">
        <v>45483</v>
      </c>
      <c r="K192" t="s">
        <v>19</v>
      </c>
      <c r="L192" t="s">
        <v>55</v>
      </c>
    </row>
    <row r="193" spans="1:12">
      <c r="A193" t="s">
        <v>676</v>
      </c>
      <c r="B193" t="s">
        <v>131</v>
      </c>
      <c r="C193" t="s">
        <v>102</v>
      </c>
      <c r="D193" t="str">
        <f>_xlfn.CONCAT(tblEmployees[[#This Row],[First_Name]]," ",tblEmployees[[#This Row],[Last_Name]])</f>
        <v>Aditya Jadhav</v>
      </c>
      <c r="E193" t="s">
        <v>24</v>
      </c>
      <c r="F193" t="s">
        <v>75</v>
      </c>
      <c r="G193" t="s">
        <v>171</v>
      </c>
      <c r="H193" t="s">
        <v>677</v>
      </c>
      <c r="I193" t="s">
        <v>678</v>
      </c>
      <c r="J193" s="2">
        <v>45484</v>
      </c>
      <c r="K193" t="s">
        <v>29</v>
      </c>
      <c r="L193" t="s">
        <v>20</v>
      </c>
    </row>
    <row r="194" spans="1:12">
      <c r="A194" t="s">
        <v>679</v>
      </c>
      <c r="B194" t="s">
        <v>137</v>
      </c>
      <c r="C194" t="s">
        <v>108</v>
      </c>
      <c r="D194" t="str">
        <f>_xlfn.CONCAT(tblEmployees[[#This Row],[First_Name]]," ",tblEmployees[[#This Row],[Last_Name]])</f>
        <v>Nisha Patil</v>
      </c>
      <c r="E194" t="s">
        <v>14</v>
      </c>
      <c r="F194" t="s">
        <v>15</v>
      </c>
      <c r="G194" t="s">
        <v>16</v>
      </c>
      <c r="H194" t="s">
        <v>680</v>
      </c>
      <c r="I194" t="s">
        <v>681</v>
      </c>
      <c r="J194" s="2">
        <v>45485</v>
      </c>
      <c r="K194" t="s">
        <v>37</v>
      </c>
      <c r="L194" t="s">
        <v>20</v>
      </c>
    </row>
    <row r="195" spans="1:12">
      <c r="A195" t="s">
        <v>682</v>
      </c>
      <c r="B195" t="s">
        <v>143</v>
      </c>
      <c r="C195" t="s">
        <v>114</v>
      </c>
      <c r="D195" t="str">
        <f>_xlfn.CONCAT(tblEmployees[[#This Row],[First_Name]]," ",tblEmployees[[#This Row],[Last_Name]])</f>
        <v>Deepak Deshmukh</v>
      </c>
      <c r="E195" t="s">
        <v>24</v>
      </c>
      <c r="F195" t="s">
        <v>25</v>
      </c>
      <c r="G195" t="s">
        <v>26</v>
      </c>
      <c r="H195" t="s">
        <v>683</v>
      </c>
      <c r="I195" t="s">
        <v>684</v>
      </c>
      <c r="J195" s="2">
        <v>45486</v>
      </c>
      <c r="K195" t="s">
        <v>45</v>
      </c>
      <c r="L195" t="s">
        <v>20</v>
      </c>
    </row>
    <row r="196" spans="1:12">
      <c r="A196" t="s">
        <v>685</v>
      </c>
      <c r="B196" t="s">
        <v>149</v>
      </c>
      <c r="C196" t="s">
        <v>120</v>
      </c>
      <c r="D196" t="str">
        <f>_xlfn.CONCAT(tblEmployees[[#This Row],[First_Name]]," ",tblEmployees[[#This Row],[Last_Name]])</f>
        <v>Komal Shinde</v>
      </c>
      <c r="E196" t="s">
        <v>14</v>
      </c>
      <c r="F196" t="s">
        <v>33</v>
      </c>
      <c r="G196" t="s">
        <v>34</v>
      </c>
      <c r="H196" t="s">
        <v>686</v>
      </c>
      <c r="I196" t="s">
        <v>687</v>
      </c>
      <c r="J196" s="2">
        <v>45487</v>
      </c>
      <c r="K196" t="s">
        <v>54</v>
      </c>
      <c r="L196" t="s">
        <v>20</v>
      </c>
    </row>
    <row r="197" spans="1:12">
      <c r="A197" t="s">
        <v>688</v>
      </c>
      <c r="B197" t="s">
        <v>155</v>
      </c>
      <c r="C197" t="s">
        <v>126</v>
      </c>
      <c r="D197" t="str">
        <f>_xlfn.CONCAT(tblEmployees[[#This Row],[First_Name]]," ",tblEmployees[[#This Row],[Last_Name]])</f>
        <v>Sameer Mane</v>
      </c>
      <c r="E197" t="s">
        <v>24</v>
      </c>
      <c r="F197" t="s">
        <v>41</v>
      </c>
      <c r="G197" t="s">
        <v>42</v>
      </c>
      <c r="H197" t="s">
        <v>689</v>
      </c>
      <c r="I197" t="s">
        <v>690</v>
      </c>
      <c r="J197" s="2">
        <v>45488</v>
      </c>
      <c r="K197" t="s">
        <v>63</v>
      </c>
      <c r="L197" t="s">
        <v>46</v>
      </c>
    </row>
    <row r="198" spans="1:12">
      <c r="A198" t="s">
        <v>691</v>
      </c>
      <c r="B198" t="s">
        <v>160</v>
      </c>
      <c r="C198" t="s">
        <v>132</v>
      </c>
      <c r="D198" t="str">
        <f>_xlfn.CONCAT(tblEmployees[[#This Row],[First_Name]]," ",tblEmployees[[#This Row],[Last_Name]])</f>
        <v>Farhan Chavan</v>
      </c>
      <c r="E198" t="s">
        <v>14</v>
      </c>
      <c r="F198" t="s">
        <v>50</v>
      </c>
      <c r="G198" t="s">
        <v>51</v>
      </c>
      <c r="H198" t="s">
        <v>692</v>
      </c>
      <c r="I198" t="s">
        <v>693</v>
      </c>
      <c r="J198" s="2">
        <v>45489</v>
      </c>
      <c r="K198" t="s">
        <v>71</v>
      </c>
      <c r="L198" t="s">
        <v>55</v>
      </c>
    </row>
    <row r="199" spans="1:12">
      <c r="A199" t="s">
        <v>694</v>
      </c>
      <c r="B199" t="s">
        <v>165</v>
      </c>
      <c r="C199" t="s">
        <v>138</v>
      </c>
      <c r="D199" t="str">
        <f>_xlfn.CONCAT(tblEmployees[[#This Row],[First_Name]]," ",tblEmployees[[#This Row],[Last_Name]])</f>
        <v>Isha Ansari</v>
      </c>
      <c r="E199" t="s">
        <v>24</v>
      </c>
      <c r="F199" t="s">
        <v>59</v>
      </c>
      <c r="G199" t="s">
        <v>60</v>
      </c>
      <c r="H199" t="s">
        <v>695</v>
      </c>
      <c r="I199" t="s">
        <v>696</v>
      </c>
      <c r="J199" s="2">
        <v>45490</v>
      </c>
      <c r="K199" t="s">
        <v>79</v>
      </c>
      <c r="L199" t="s">
        <v>20</v>
      </c>
    </row>
    <row r="200" spans="1:12">
      <c r="A200" t="s">
        <v>697</v>
      </c>
      <c r="B200" t="s">
        <v>170</v>
      </c>
      <c r="C200" t="s">
        <v>144</v>
      </c>
      <c r="D200" t="str">
        <f>_xlfn.CONCAT(tblEmployees[[#This Row],[First_Name]]," ",tblEmployees[[#This Row],[Last_Name]])</f>
        <v>Sonia Rathod</v>
      </c>
      <c r="E200" t="s">
        <v>14</v>
      </c>
      <c r="F200" t="s">
        <v>67</v>
      </c>
      <c r="G200" t="s">
        <v>68</v>
      </c>
      <c r="H200" t="s">
        <v>698</v>
      </c>
      <c r="I200" t="s">
        <v>699</v>
      </c>
      <c r="J200" s="2">
        <v>45491</v>
      </c>
      <c r="K200" t="s">
        <v>86</v>
      </c>
      <c r="L200" t="s">
        <v>20</v>
      </c>
    </row>
    <row r="201" spans="1:12">
      <c r="A201" t="s">
        <v>700</v>
      </c>
      <c r="B201" t="s">
        <v>175</v>
      </c>
      <c r="C201" t="s">
        <v>150</v>
      </c>
      <c r="D201" t="str">
        <f>_xlfn.CONCAT(tblEmployees[[#This Row],[First_Name]]," ",tblEmployees[[#This Row],[Last_Name]])</f>
        <v>Akash Pawar</v>
      </c>
      <c r="E201" t="s">
        <v>24</v>
      </c>
      <c r="F201" t="s">
        <v>75</v>
      </c>
      <c r="G201" t="s">
        <v>76</v>
      </c>
      <c r="H201" t="s">
        <v>701</v>
      </c>
      <c r="I201" t="s">
        <v>702</v>
      </c>
      <c r="J201" s="2">
        <v>45492</v>
      </c>
      <c r="K201" t="s">
        <v>93</v>
      </c>
      <c r="L201" t="s">
        <v>20</v>
      </c>
    </row>
    <row r="202" spans="1:12">
      <c r="A202" t="s">
        <v>703</v>
      </c>
      <c r="B202" t="s">
        <v>12</v>
      </c>
      <c r="C202" t="s">
        <v>13</v>
      </c>
      <c r="D202" t="str">
        <f>_xlfn.CONCAT(tblEmployees[[#This Row],[First_Name]]," ",tblEmployees[[#This Row],[Last_Name]])</f>
        <v>Rahul Sharma</v>
      </c>
      <c r="E202" t="s">
        <v>14</v>
      </c>
      <c r="F202" t="s">
        <v>15</v>
      </c>
      <c r="G202" t="s">
        <v>83</v>
      </c>
      <c r="H202" t="s">
        <v>704</v>
      </c>
      <c r="I202" t="s">
        <v>705</v>
      </c>
      <c r="J202" s="2">
        <v>45493</v>
      </c>
      <c r="K202" t="s">
        <v>19</v>
      </c>
      <c r="L202" t="s">
        <v>20</v>
      </c>
    </row>
    <row r="203" spans="1:12">
      <c r="A203" t="s">
        <v>706</v>
      </c>
      <c r="B203" t="s">
        <v>22</v>
      </c>
      <c r="C203" t="s">
        <v>23</v>
      </c>
      <c r="D203" t="str">
        <f>_xlfn.CONCAT(tblEmployees[[#This Row],[First_Name]]," ",tblEmployees[[#This Row],[Last_Name]])</f>
        <v>Priya Patel</v>
      </c>
      <c r="E203" t="s">
        <v>24</v>
      </c>
      <c r="F203" t="s">
        <v>25</v>
      </c>
      <c r="G203" t="s">
        <v>90</v>
      </c>
      <c r="H203" t="s">
        <v>707</v>
      </c>
      <c r="I203" t="s">
        <v>708</v>
      </c>
      <c r="J203" s="2">
        <v>45494</v>
      </c>
      <c r="K203" t="s">
        <v>29</v>
      </c>
      <c r="L203" t="s">
        <v>46</v>
      </c>
    </row>
    <row r="204" spans="1:12">
      <c r="A204" t="s">
        <v>709</v>
      </c>
      <c r="B204" t="s">
        <v>31</v>
      </c>
      <c r="C204" t="s">
        <v>32</v>
      </c>
      <c r="D204" t="str">
        <f>_xlfn.CONCAT(tblEmployees[[#This Row],[First_Name]]," ",tblEmployees[[#This Row],[Last_Name]])</f>
        <v>Amit Gupta</v>
      </c>
      <c r="E204" t="s">
        <v>14</v>
      </c>
      <c r="F204" t="s">
        <v>33</v>
      </c>
      <c r="G204" t="s">
        <v>97</v>
      </c>
      <c r="H204" t="s">
        <v>710</v>
      </c>
      <c r="I204" t="s">
        <v>711</v>
      </c>
      <c r="J204" s="2">
        <v>45495</v>
      </c>
      <c r="K204" t="s">
        <v>37</v>
      </c>
      <c r="L204" t="s">
        <v>55</v>
      </c>
    </row>
    <row r="205" spans="1:12">
      <c r="A205" t="s">
        <v>712</v>
      </c>
      <c r="B205" t="s">
        <v>39</v>
      </c>
      <c r="C205" t="s">
        <v>40</v>
      </c>
      <c r="D205" t="str">
        <f>_xlfn.CONCAT(tblEmployees[[#This Row],[First_Name]]," ",tblEmployees[[#This Row],[Last_Name]])</f>
        <v>Sneha Singh</v>
      </c>
      <c r="E205" t="s">
        <v>24</v>
      </c>
      <c r="F205" t="s">
        <v>41</v>
      </c>
      <c r="G205" t="s">
        <v>103</v>
      </c>
      <c r="H205" t="s">
        <v>713</v>
      </c>
      <c r="I205" t="s">
        <v>714</v>
      </c>
      <c r="J205" s="2">
        <v>45496</v>
      </c>
      <c r="K205" t="s">
        <v>45</v>
      </c>
      <c r="L205" t="s">
        <v>20</v>
      </c>
    </row>
    <row r="206" spans="1:12">
      <c r="A206" t="s">
        <v>715</v>
      </c>
      <c r="B206" t="s">
        <v>48</v>
      </c>
      <c r="C206" t="s">
        <v>49</v>
      </c>
      <c r="D206" t="str">
        <f>_xlfn.CONCAT(tblEmployees[[#This Row],[First_Name]]," ",tblEmployees[[#This Row],[Last_Name]])</f>
        <v>Rohan Verma</v>
      </c>
      <c r="E206" t="s">
        <v>14</v>
      </c>
      <c r="F206" t="s">
        <v>50</v>
      </c>
      <c r="G206" t="s">
        <v>109</v>
      </c>
      <c r="H206" t="s">
        <v>716</v>
      </c>
      <c r="I206" t="s">
        <v>717</v>
      </c>
      <c r="J206" s="2">
        <v>45497</v>
      </c>
      <c r="K206" t="s">
        <v>54</v>
      </c>
      <c r="L206" t="s">
        <v>20</v>
      </c>
    </row>
    <row r="207" spans="1:12">
      <c r="A207" t="s">
        <v>718</v>
      </c>
      <c r="B207" t="s">
        <v>57</v>
      </c>
      <c r="C207" t="s">
        <v>58</v>
      </c>
      <c r="D207" t="str">
        <f>_xlfn.CONCAT(tblEmployees[[#This Row],[First_Name]]," ",tblEmployees[[#This Row],[Last_Name]])</f>
        <v>Pooja Joshi</v>
      </c>
      <c r="E207" t="s">
        <v>24</v>
      </c>
      <c r="F207" t="s">
        <v>59</v>
      </c>
      <c r="G207" t="s">
        <v>115</v>
      </c>
      <c r="H207" t="s">
        <v>719</v>
      </c>
      <c r="I207" t="s">
        <v>720</v>
      </c>
      <c r="J207" s="2">
        <v>45498</v>
      </c>
      <c r="K207" t="s">
        <v>63</v>
      </c>
      <c r="L207" t="s">
        <v>20</v>
      </c>
    </row>
    <row r="208" spans="1:12">
      <c r="A208" t="s">
        <v>721</v>
      </c>
      <c r="B208" t="s">
        <v>65</v>
      </c>
      <c r="C208" t="s">
        <v>66</v>
      </c>
      <c r="D208" t="str">
        <f>_xlfn.CONCAT(tblEmployees[[#This Row],[First_Name]]," ",tblEmployees[[#This Row],[Last_Name]])</f>
        <v>Arjun Kulkarni</v>
      </c>
      <c r="E208" t="s">
        <v>14</v>
      </c>
      <c r="F208" t="s">
        <v>67</v>
      </c>
      <c r="G208" t="s">
        <v>121</v>
      </c>
      <c r="H208" t="s">
        <v>722</v>
      </c>
      <c r="I208" t="s">
        <v>723</v>
      </c>
      <c r="J208" s="2">
        <v>45499</v>
      </c>
      <c r="K208" t="s">
        <v>71</v>
      </c>
      <c r="L208" t="s">
        <v>20</v>
      </c>
    </row>
    <row r="209" spans="1:12">
      <c r="A209" t="s">
        <v>724</v>
      </c>
      <c r="B209" t="s">
        <v>73</v>
      </c>
      <c r="C209" t="s">
        <v>74</v>
      </c>
      <c r="D209" t="str">
        <f>_xlfn.CONCAT(tblEmployees[[#This Row],[First_Name]]," ",tblEmployees[[#This Row],[Last_Name]])</f>
        <v>Neha Shaikh</v>
      </c>
      <c r="E209" t="s">
        <v>24</v>
      </c>
      <c r="F209" t="s">
        <v>75</v>
      </c>
      <c r="G209" t="s">
        <v>127</v>
      </c>
      <c r="H209" t="s">
        <v>725</v>
      </c>
      <c r="I209" t="s">
        <v>726</v>
      </c>
      <c r="J209" s="2">
        <v>45500</v>
      </c>
      <c r="K209" t="s">
        <v>79</v>
      </c>
      <c r="L209" t="s">
        <v>46</v>
      </c>
    </row>
    <row r="210" spans="1:12">
      <c r="A210" t="s">
        <v>727</v>
      </c>
      <c r="B210" t="s">
        <v>81</v>
      </c>
      <c r="C210" t="s">
        <v>82</v>
      </c>
      <c r="D210" t="str">
        <f>_xlfn.CONCAT(tblEmployees[[#This Row],[First_Name]]," ",tblEmployees[[#This Row],[Last_Name]])</f>
        <v>Karan Khan</v>
      </c>
      <c r="E210" t="s">
        <v>14</v>
      </c>
      <c r="F210" t="s">
        <v>15</v>
      </c>
      <c r="G210" t="s">
        <v>133</v>
      </c>
      <c r="H210" t="s">
        <v>728</v>
      </c>
      <c r="I210" t="s">
        <v>729</v>
      </c>
      <c r="J210" s="2">
        <v>45501</v>
      </c>
      <c r="K210" t="s">
        <v>86</v>
      </c>
      <c r="L210" t="s">
        <v>55</v>
      </c>
    </row>
    <row r="211" spans="1:12">
      <c r="A211" t="s">
        <v>730</v>
      </c>
      <c r="B211" t="s">
        <v>88</v>
      </c>
      <c r="C211" t="s">
        <v>89</v>
      </c>
      <c r="D211" t="str">
        <f>_xlfn.CONCAT(tblEmployees[[#This Row],[First_Name]]," ",tblEmployees[[#This Row],[Last_Name]])</f>
        <v>Anjali Yadav</v>
      </c>
      <c r="E211" t="s">
        <v>24</v>
      </c>
      <c r="F211" t="s">
        <v>25</v>
      </c>
      <c r="G211" t="s">
        <v>139</v>
      </c>
      <c r="H211" t="s">
        <v>731</v>
      </c>
      <c r="I211" t="s">
        <v>732</v>
      </c>
      <c r="J211" s="2">
        <v>45502</v>
      </c>
      <c r="K211" t="s">
        <v>93</v>
      </c>
      <c r="L211" t="s">
        <v>20</v>
      </c>
    </row>
    <row r="212" spans="1:12">
      <c r="A212" t="s">
        <v>733</v>
      </c>
      <c r="B212" t="s">
        <v>95</v>
      </c>
      <c r="C212" t="s">
        <v>96</v>
      </c>
      <c r="D212" t="str">
        <f>_xlfn.CONCAT(tblEmployees[[#This Row],[First_Name]]," ",tblEmployees[[#This Row],[Last_Name]])</f>
        <v>Vikas More</v>
      </c>
      <c r="E212" t="s">
        <v>14</v>
      </c>
      <c r="F212" t="s">
        <v>33</v>
      </c>
      <c r="G212" t="s">
        <v>145</v>
      </c>
      <c r="H212" t="s">
        <v>734</v>
      </c>
      <c r="I212" t="s">
        <v>735</v>
      </c>
      <c r="J212" s="2">
        <v>45503</v>
      </c>
      <c r="K212" t="s">
        <v>19</v>
      </c>
      <c r="L212" t="s">
        <v>20</v>
      </c>
    </row>
    <row r="213" spans="1:12">
      <c r="A213" t="s">
        <v>736</v>
      </c>
      <c r="B213" t="s">
        <v>101</v>
      </c>
      <c r="C213" t="s">
        <v>102</v>
      </c>
      <c r="D213" t="str">
        <f>_xlfn.CONCAT(tblEmployees[[#This Row],[First_Name]]," ",tblEmployees[[#This Row],[Last_Name]])</f>
        <v>Meera Jadhav</v>
      </c>
      <c r="E213" t="s">
        <v>24</v>
      </c>
      <c r="F213" t="s">
        <v>41</v>
      </c>
      <c r="G213" t="s">
        <v>151</v>
      </c>
      <c r="H213" t="s">
        <v>737</v>
      </c>
      <c r="I213" t="s">
        <v>738</v>
      </c>
      <c r="J213" s="2">
        <v>45504</v>
      </c>
      <c r="K213" t="s">
        <v>29</v>
      </c>
      <c r="L213" t="s">
        <v>20</v>
      </c>
    </row>
    <row r="214" spans="1:12">
      <c r="A214" t="s">
        <v>739</v>
      </c>
      <c r="B214" t="s">
        <v>107</v>
      </c>
      <c r="C214" t="s">
        <v>108</v>
      </c>
      <c r="D214" t="str">
        <f>_xlfn.CONCAT(tblEmployees[[#This Row],[First_Name]]," ",tblEmployees[[#This Row],[Last_Name]])</f>
        <v>Sahil Patil</v>
      </c>
      <c r="E214" t="s">
        <v>14</v>
      </c>
      <c r="F214" t="s">
        <v>50</v>
      </c>
      <c r="G214" t="s">
        <v>156</v>
      </c>
      <c r="H214" t="s">
        <v>740</v>
      </c>
      <c r="I214" t="s">
        <v>741</v>
      </c>
      <c r="J214" s="2">
        <v>45505</v>
      </c>
      <c r="K214" t="s">
        <v>37</v>
      </c>
      <c r="L214" t="s">
        <v>20</v>
      </c>
    </row>
    <row r="215" spans="1:12">
      <c r="A215" t="s">
        <v>742</v>
      </c>
      <c r="B215" t="s">
        <v>113</v>
      </c>
      <c r="C215" t="s">
        <v>114</v>
      </c>
      <c r="D215" t="str">
        <f>_xlfn.CONCAT(tblEmployees[[#This Row],[First_Name]]," ",tblEmployees[[#This Row],[Last_Name]])</f>
        <v>Aisha Deshmukh</v>
      </c>
      <c r="E215" t="s">
        <v>24</v>
      </c>
      <c r="F215" t="s">
        <v>59</v>
      </c>
      <c r="G215" t="s">
        <v>161</v>
      </c>
      <c r="H215" t="s">
        <v>743</v>
      </c>
      <c r="I215" t="s">
        <v>744</v>
      </c>
      <c r="J215" s="2">
        <v>45506</v>
      </c>
      <c r="K215" t="s">
        <v>45</v>
      </c>
      <c r="L215" t="s">
        <v>46</v>
      </c>
    </row>
    <row r="216" spans="1:12">
      <c r="A216" t="s">
        <v>745</v>
      </c>
      <c r="B216" t="s">
        <v>119</v>
      </c>
      <c r="C216" t="s">
        <v>120</v>
      </c>
      <c r="D216" t="str">
        <f>_xlfn.CONCAT(tblEmployees[[#This Row],[First_Name]]," ",tblEmployees[[#This Row],[Last_Name]])</f>
        <v>Riya Shinde</v>
      </c>
      <c r="E216" t="s">
        <v>14</v>
      </c>
      <c r="F216" t="s">
        <v>67</v>
      </c>
      <c r="G216" t="s">
        <v>166</v>
      </c>
      <c r="H216" t="s">
        <v>746</v>
      </c>
      <c r="I216" t="s">
        <v>747</v>
      </c>
      <c r="J216" s="2">
        <v>45507</v>
      </c>
      <c r="K216" t="s">
        <v>54</v>
      </c>
      <c r="L216" t="s">
        <v>55</v>
      </c>
    </row>
    <row r="217" spans="1:12">
      <c r="A217" t="s">
        <v>748</v>
      </c>
      <c r="B217" t="s">
        <v>125</v>
      </c>
      <c r="C217" t="s">
        <v>126</v>
      </c>
      <c r="D217" t="str">
        <f>_xlfn.CONCAT(tblEmployees[[#This Row],[First_Name]]," ",tblEmployees[[#This Row],[Last_Name]])</f>
        <v>Vivek Mane</v>
      </c>
      <c r="E217" t="s">
        <v>24</v>
      </c>
      <c r="F217" t="s">
        <v>75</v>
      </c>
      <c r="G217" t="s">
        <v>171</v>
      </c>
      <c r="H217" t="s">
        <v>749</v>
      </c>
      <c r="I217" t="s">
        <v>750</v>
      </c>
      <c r="J217" s="2">
        <v>45508</v>
      </c>
      <c r="K217" t="s">
        <v>63</v>
      </c>
      <c r="L217" t="s">
        <v>20</v>
      </c>
    </row>
    <row r="218" spans="1:12">
      <c r="A218" t="s">
        <v>751</v>
      </c>
      <c r="B218" t="s">
        <v>131</v>
      </c>
      <c r="C218" t="s">
        <v>132</v>
      </c>
      <c r="D218" t="str">
        <f>_xlfn.CONCAT(tblEmployees[[#This Row],[First_Name]]," ",tblEmployees[[#This Row],[Last_Name]])</f>
        <v>Aditya Chavan</v>
      </c>
      <c r="E218" t="s">
        <v>14</v>
      </c>
      <c r="F218" t="s">
        <v>15</v>
      </c>
      <c r="G218" t="s">
        <v>16</v>
      </c>
      <c r="H218" t="s">
        <v>752</v>
      </c>
      <c r="I218" t="s">
        <v>753</v>
      </c>
      <c r="J218" s="2">
        <v>45509</v>
      </c>
      <c r="K218" t="s">
        <v>71</v>
      </c>
      <c r="L218" t="s">
        <v>20</v>
      </c>
    </row>
    <row r="219" spans="1:12">
      <c r="A219" t="s">
        <v>754</v>
      </c>
      <c r="B219" t="s">
        <v>137</v>
      </c>
      <c r="C219" t="s">
        <v>138</v>
      </c>
      <c r="D219" t="str">
        <f>_xlfn.CONCAT(tblEmployees[[#This Row],[First_Name]]," ",tblEmployees[[#This Row],[Last_Name]])</f>
        <v>Nisha Ansari</v>
      </c>
      <c r="E219" t="s">
        <v>24</v>
      </c>
      <c r="F219" t="s">
        <v>25</v>
      </c>
      <c r="G219" t="s">
        <v>26</v>
      </c>
      <c r="H219" t="s">
        <v>755</v>
      </c>
      <c r="I219" t="s">
        <v>756</v>
      </c>
      <c r="J219" s="2">
        <v>45510</v>
      </c>
      <c r="K219" t="s">
        <v>79</v>
      </c>
      <c r="L219" t="s">
        <v>20</v>
      </c>
    </row>
    <row r="220" spans="1:12">
      <c r="A220" t="s">
        <v>757</v>
      </c>
      <c r="B220" t="s">
        <v>143</v>
      </c>
      <c r="C220" t="s">
        <v>144</v>
      </c>
      <c r="D220" t="str">
        <f>_xlfn.CONCAT(tblEmployees[[#This Row],[First_Name]]," ",tblEmployees[[#This Row],[Last_Name]])</f>
        <v>Deepak Rathod</v>
      </c>
      <c r="E220" t="s">
        <v>14</v>
      </c>
      <c r="F220" t="s">
        <v>33</v>
      </c>
      <c r="G220" t="s">
        <v>34</v>
      </c>
      <c r="H220" t="s">
        <v>758</v>
      </c>
      <c r="I220" t="s">
        <v>759</v>
      </c>
      <c r="J220" s="2">
        <v>45511</v>
      </c>
      <c r="K220" t="s">
        <v>86</v>
      </c>
      <c r="L220" t="s">
        <v>20</v>
      </c>
    </row>
    <row r="221" spans="1:12">
      <c r="A221" t="s">
        <v>760</v>
      </c>
      <c r="B221" t="s">
        <v>149</v>
      </c>
      <c r="C221" t="s">
        <v>150</v>
      </c>
      <c r="D221" t="str">
        <f>_xlfn.CONCAT(tblEmployees[[#This Row],[First_Name]]," ",tblEmployees[[#This Row],[Last_Name]])</f>
        <v>Komal Pawar</v>
      </c>
      <c r="E221" t="s">
        <v>24</v>
      </c>
      <c r="F221" t="s">
        <v>41</v>
      </c>
      <c r="G221" t="s">
        <v>42</v>
      </c>
      <c r="H221" t="s">
        <v>761</v>
      </c>
      <c r="I221" t="s">
        <v>762</v>
      </c>
      <c r="J221" s="2">
        <v>45512</v>
      </c>
      <c r="K221" t="s">
        <v>93</v>
      </c>
      <c r="L221" t="s">
        <v>46</v>
      </c>
    </row>
    <row r="222" spans="1:12">
      <c r="A222" t="s">
        <v>763</v>
      </c>
      <c r="B222" t="s">
        <v>155</v>
      </c>
      <c r="C222" t="s">
        <v>13</v>
      </c>
      <c r="D222" t="str">
        <f>_xlfn.CONCAT(tblEmployees[[#This Row],[First_Name]]," ",tblEmployees[[#This Row],[Last_Name]])</f>
        <v>Sameer Sharma</v>
      </c>
      <c r="E222" t="s">
        <v>14</v>
      </c>
      <c r="F222" t="s">
        <v>50</v>
      </c>
      <c r="G222" t="s">
        <v>51</v>
      </c>
      <c r="H222" t="s">
        <v>764</v>
      </c>
      <c r="I222" t="s">
        <v>765</v>
      </c>
      <c r="J222" s="2">
        <v>45513</v>
      </c>
      <c r="K222" t="s">
        <v>19</v>
      </c>
      <c r="L222" t="s">
        <v>55</v>
      </c>
    </row>
    <row r="223" spans="1:12">
      <c r="A223" t="s">
        <v>766</v>
      </c>
      <c r="B223" t="s">
        <v>160</v>
      </c>
      <c r="C223" t="s">
        <v>23</v>
      </c>
      <c r="D223" t="str">
        <f>_xlfn.CONCAT(tblEmployees[[#This Row],[First_Name]]," ",tblEmployees[[#This Row],[Last_Name]])</f>
        <v>Farhan Patel</v>
      </c>
      <c r="E223" t="s">
        <v>24</v>
      </c>
      <c r="F223" t="s">
        <v>59</v>
      </c>
      <c r="G223" t="s">
        <v>60</v>
      </c>
      <c r="H223" t="s">
        <v>767</v>
      </c>
      <c r="I223" t="s">
        <v>768</v>
      </c>
      <c r="J223" s="2">
        <v>45514</v>
      </c>
      <c r="K223" t="s">
        <v>29</v>
      </c>
      <c r="L223" t="s">
        <v>20</v>
      </c>
    </row>
    <row r="224" spans="1:12">
      <c r="A224" t="s">
        <v>769</v>
      </c>
      <c r="B224" t="s">
        <v>165</v>
      </c>
      <c r="C224" t="s">
        <v>32</v>
      </c>
      <c r="D224" t="str">
        <f>_xlfn.CONCAT(tblEmployees[[#This Row],[First_Name]]," ",tblEmployees[[#This Row],[Last_Name]])</f>
        <v>Isha Gupta</v>
      </c>
      <c r="E224" t="s">
        <v>14</v>
      </c>
      <c r="F224" t="s">
        <v>67</v>
      </c>
      <c r="G224" t="s">
        <v>68</v>
      </c>
      <c r="H224" t="s">
        <v>770</v>
      </c>
      <c r="I224" t="s">
        <v>771</v>
      </c>
      <c r="J224" s="2">
        <v>45515</v>
      </c>
      <c r="K224" t="s">
        <v>37</v>
      </c>
      <c r="L224" t="s">
        <v>20</v>
      </c>
    </row>
    <row r="225" spans="1:12">
      <c r="A225" t="s">
        <v>772</v>
      </c>
      <c r="B225" t="s">
        <v>170</v>
      </c>
      <c r="C225" t="s">
        <v>40</v>
      </c>
      <c r="D225" t="str">
        <f>_xlfn.CONCAT(tblEmployees[[#This Row],[First_Name]]," ",tblEmployees[[#This Row],[Last_Name]])</f>
        <v>Sonia Singh</v>
      </c>
      <c r="E225" t="s">
        <v>24</v>
      </c>
      <c r="F225" t="s">
        <v>75</v>
      </c>
      <c r="G225" t="s">
        <v>76</v>
      </c>
      <c r="H225" t="s">
        <v>773</v>
      </c>
      <c r="I225" t="s">
        <v>774</v>
      </c>
      <c r="J225" s="2">
        <v>45516</v>
      </c>
      <c r="K225" t="s">
        <v>45</v>
      </c>
      <c r="L225" t="s">
        <v>20</v>
      </c>
    </row>
    <row r="226" spans="1:12">
      <c r="A226" t="s">
        <v>775</v>
      </c>
      <c r="B226" t="s">
        <v>175</v>
      </c>
      <c r="C226" t="s">
        <v>49</v>
      </c>
      <c r="D226" t="str">
        <f>_xlfn.CONCAT(tblEmployees[[#This Row],[First_Name]]," ",tblEmployees[[#This Row],[Last_Name]])</f>
        <v>Akash Verma</v>
      </c>
      <c r="E226" t="s">
        <v>14</v>
      </c>
      <c r="F226" t="s">
        <v>15</v>
      </c>
      <c r="G226" t="s">
        <v>83</v>
      </c>
      <c r="H226" t="s">
        <v>776</v>
      </c>
      <c r="I226" t="s">
        <v>777</v>
      </c>
      <c r="J226" s="2">
        <v>45517</v>
      </c>
      <c r="K226" t="s">
        <v>54</v>
      </c>
      <c r="L226" t="s">
        <v>20</v>
      </c>
    </row>
    <row r="227" spans="1:12">
      <c r="A227" t="s">
        <v>778</v>
      </c>
      <c r="B227" t="s">
        <v>12</v>
      </c>
      <c r="C227" t="s">
        <v>58</v>
      </c>
      <c r="D227" t="str">
        <f>_xlfn.CONCAT(tblEmployees[[#This Row],[First_Name]]," ",tblEmployees[[#This Row],[Last_Name]])</f>
        <v>Rahul Joshi</v>
      </c>
      <c r="E227" t="s">
        <v>24</v>
      </c>
      <c r="F227" t="s">
        <v>25</v>
      </c>
      <c r="G227" t="s">
        <v>90</v>
      </c>
      <c r="H227" t="s">
        <v>779</v>
      </c>
      <c r="I227" t="s">
        <v>780</v>
      </c>
      <c r="J227" s="2">
        <v>45518</v>
      </c>
      <c r="K227" t="s">
        <v>63</v>
      </c>
      <c r="L227" t="s">
        <v>46</v>
      </c>
    </row>
    <row r="228" spans="1:12">
      <c r="A228" t="s">
        <v>781</v>
      </c>
      <c r="B228" t="s">
        <v>22</v>
      </c>
      <c r="C228" t="s">
        <v>66</v>
      </c>
      <c r="D228" t="str">
        <f>_xlfn.CONCAT(tblEmployees[[#This Row],[First_Name]]," ",tblEmployees[[#This Row],[Last_Name]])</f>
        <v>Priya Kulkarni</v>
      </c>
      <c r="E228" t="s">
        <v>14</v>
      </c>
      <c r="F228" t="s">
        <v>33</v>
      </c>
      <c r="G228" t="s">
        <v>97</v>
      </c>
      <c r="H228" t="s">
        <v>782</v>
      </c>
      <c r="I228" t="s">
        <v>783</v>
      </c>
      <c r="J228" s="2">
        <v>45519</v>
      </c>
      <c r="K228" t="s">
        <v>71</v>
      </c>
      <c r="L228" t="s">
        <v>55</v>
      </c>
    </row>
    <row r="229" spans="1:12">
      <c r="A229" t="s">
        <v>784</v>
      </c>
      <c r="B229" t="s">
        <v>31</v>
      </c>
      <c r="C229" t="s">
        <v>74</v>
      </c>
      <c r="D229" t="str">
        <f>_xlfn.CONCAT(tblEmployees[[#This Row],[First_Name]]," ",tblEmployees[[#This Row],[Last_Name]])</f>
        <v>Amit Shaikh</v>
      </c>
      <c r="E229" t="s">
        <v>24</v>
      </c>
      <c r="F229" t="s">
        <v>41</v>
      </c>
      <c r="G229" t="s">
        <v>103</v>
      </c>
      <c r="H229" t="s">
        <v>785</v>
      </c>
      <c r="I229" t="s">
        <v>786</v>
      </c>
      <c r="J229" s="2">
        <v>45520</v>
      </c>
      <c r="K229" t="s">
        <v>79</v>
      </c>
      <c r="L229" t="s">
        <v>20</v>
      </c>
    </row>
    <row r="230" spans="1:12">
      <c r="A230" t="s">
        <v>787</v>
      </c>
      <c r="B230" t="s">
        <v>39</v>
      </c>
      <c r="C230" t="s">
        <v>82</v>
      </c>
      <c r="D230" t="str">
        <f>_xlfn.CONCAT(tblEmployees[[#This Row],[First_Name]]," ",tblEmployees[[#This Row],[Last_Name]])</f>
        <v>Sneha Khan</v>
      </c>
      <c r="E230" t="s">
        <v>14</v>
      </c>
      <c r="F230" t="s">
        <v>50</v>
      </c>
      <c r="G230" t="s">
        <v>109</v>
      </c>
      <c r="H230" t="s">
        <v>788</v>
      </c>
      <c r="I230" t="s">
        <v>789</v>
      </c>
      <c r="J230" s="2">
        <v>45521</v>
      </c>
      <c r="K230" t="s">
        <v>86</v>
      </c>
      <c r="L230" t="s">
        <v>20</v>
      </c>
    </row>
    <row r="231" spans="1:12">
      <c r="A231" t="s">
        <v>790</v>
      </c>
      <c r="B231" t="s">
        <v>48</v>
      </c>
      <c r="C231" t="s">
        <v>89</v>
      </c>
      <c r="D231" t="str">
        <f>_xlfn.CONCAT(tblEmployees[[#This Row],[First_Name]]," ",tblEmployees[[#This Row],[Last_Name]])</f>
        <v>Rohan Yadav</v>
      </c>
      <c r="E231" t="s">
        <v>24</v>
      </c>
      <c r="F231" t="s">
        <v>59</v>
      </c>
      <c r="G231" t="s">
        <v>115</v>
      </c>
      <c r="H231" t="s">
        <v>791</v>
      </c>
      <c r="I231" t="s">
        <v>792</v>
      </c>
      <c r="J231" s="2">
        <v>45522</v>
      </c>
      <c r="K231" t="s">
        <v>93</v>
      </c>
      <c r="L231" t="s">
        <v>20</v>
      </c>
    </row>
    <row r="232" spans="1:12">
      <c r="A232" t="s">
        <v>793</v>
      </c>
      <c r="B232" t="s">
        <v>57</v>
      </c>
      <c r="C232" t="s">
        <v>96</v>
      </c>
      <c r="D232" t="str">
        <f>_xlfn.CONCAT(tblEmployees[[#This Row],[First_Name]]," ",tblEmployees[[#This Row],[Last_Name]])</f>
        <v>Pooja More</v>
      </c>
      <c r="E232" t="s">
        <v>14</v>
      </c>
      <c r="F232" t="s">
        <v>67</v>
      </c>
      <c r="G232" t="s">
        <v>121</v>
      </c>
      <c r="H232" t="s">
        <v>794</v>
      </c>
      <c r="I232" t="s">
        <v>795</v>
      </c>
      <c r="J232" s="2">
        <v>45523</v>
      </c>
      <c r="K232" t="s">
        <v>19</v>
      </c>
      <c r="L232" t="s">
        <v>20</v>
      </c>
    </row>
    <row r="233" spans="1:12">
      <c r="A233" t="s">
        <v>796</v>
      </c>
      <c r="B233" t="s">
        <v>65</v>
      </c>
      <c r="C233" t="s">
        <v>102</v>
      </c>
      <c r="D233" t="str">
        <f>_xlfn.CONCAT(tblEmployees[[#This Row],[First_Name]]," ",tblEmployees[[#This Row],[Last_Name]])</f>
        <v>Arjun Jadhav</v>
      </c>
      <c r="E233" t="s">
        <v>24</v>
      </c>
      <c r="F233" t="s">
        <v>75</v>
      </c>
      <c r="G233" t="s">
        <v>127</v>
      </c>
      <c r="H233" t="s">
        <v>797</v>
      </c>
      <c r="I233" t="s">
        <v>798</v>
      </c>
      <c r="J233" s="2">
        <v>45524</v>
      </c>
      <c r="K233" t="s">
        <v>29</v>
      </c>
      <c r="L233" t="s">
        <v>46</v>
      </c>
    </row>
    <row r="234" spans="1:12">
      <c r="A234" t="s">
        <v>799</v>
      </c>
      <c r="B234" t="s">
        <v>73</v>
      </c>
      <c r="C234" t="s">
        <v>108</v>
      </c>
      <c r="D234" t="str">
        <f>_xlfn.CONCAT(tblEmployees[[#This Row],[First_Name]]," ",tblEmployees[[#This Row],[Last_Name]])</f>
        <v>Neha Patil</v>
      </c>
      <c r="E234" t="s">
        <v>14</v>
      </c>
      <c r="F234" t="s">
        <v>15</v>
      </c>
      <c r="G234" t="s">
        <v>133</v>
      </c>
      <c r="H234" t="s">
        <v>800</v>
      </c>
      <c r="I234" t="s">
        <v>801</v>
      </c>
      <c r="J234" s="2">
        <v>45525</v>
      </c>
      <c r="K234" t="s">
        <v>37</v>
      </c>
      <c r="L234" t="s">
        <v>55</v>
      </c>
    </row>
    <row r="235" spans="1:12">
      <c r="A235" t="s">
        <v>802</v>
      </c>
      <c r="B235" t="s">
        <v>81</v>
      </c>
      <c r="C235" t="s">
        <v>114</v>
      </c>
      <c r="D235" t="str">
        <f>_xlfn.CONCAT(tblEmployees[[#This Row],[First_Name]]," ",tblEmployees[[#This Row],[Last_Name]])</f>
        <v>Karan Deshmukh</v>
      </c>
      <c r="E235" t="s">
        <v>24</v>
      </c>
      <c r="F235" t="s">
        <v>25</v>
      </c>
      <c r="G235" t="s">
        <v>139</v>
      </c>
      <c r="H235" t="s">
        <v>803</v>
      </c>
      <c r="I235" t="s">
        <v>804</v>
      </c>
      <c r="J235" s="2">
        <v>45526</v>
      </c>
      <c r="K235" t="s">
        <v>45</v>
      </c>
      <c r="L235" t="s">
        <v>20</v>
      </c>
    </row>
    <row r="236" spans="1:12">
      <c r="A236" t="s">
        <v>805</v>
      </c>
      <c r="B236" t="s">
        <v>88</v>
      </c>
      <c r="C236" t="s">
        <v>120</v>
      </c>
      <c r="D236" t="str">
        <f>_xlfn.CONCAT(tblEmployees[[#This Row],[First_Name]]," ",tblEmployees[[#This Row],[Last_Name]])</f>
        <v>Anjali Shinde</v>
      </c>
      <c r="E236" t="s">
        <v>14</v>
      </c>
      <c r="F236" t="s">
        <v>33</v>
      </c>
      <c r="G236" t="s">
        <v>145</v>
      </c>
      <c r="H236" t="s">
        <v>806</v>
      </c>
      <c r="I236" t="s">
        <v>807</v>
      </c>
      <c r="J236" s="2">
        <v>45527</v>
      </c>
      <c r="K236" t="s">
        <v>54</v>
      </c>
      <c r="L236" t="s">
        <v>20</v>
      </c>
    </row>
    <row r="237" spans="1:12">
      <c r="A237" t="s">
        <v>808</v>
      </c>
      <c r="B237" t="s">
        <v>95</v>
      </c>
      <c r="C237" t="s">
        <v>126</v>
      </c>
      <c r="D237" t="str">
        <f>_xlfn.CONCAT(tblEmployees[[#This Row],[First_Name]]," ",tblEmployees[[#This Row],[Last_Name]])</f>
        <v>Vikas Mane</v>
      </c>
      <c r="E237" t="s">
        <v>24</v>
      </c>
      <c r="F237" t="s">
        <v>41</v>
      </c>
      <c r="G237" t="s">
        <v>151</v>
      </c>
      <c r="H237" t="s">
        <v>809</v>
      </c>
      <c r="I237" t="s">
        <v>810</v>
      </c>
      <c r="J237" s="2">
        <v>45528</v>
      </c>
      <c r="K237" t="s">
        <v>63</v>
      </c>
      <c r="L237" t="s">
        <v>20</v>
      </c>
    </row>
    <row r="238" spans="1:12">
      <c r="A238" t="s">
        <v>811</v>
      </c>
      <c r="B238" t="s">
        <v>101</v>
      </c>
      <c r="C238" t="s">
        <v>132</v>
      </c>
      <c r="D238" t="str">
        <f>_xlfn.CONCAT(tblEmployees[[#This Row],[First_Name]]," ",tblEmployees[[#This Row],[Last_Name]])</f>
        <v>Meera Chavan</v>
      </c>
      <c r="E238" t="s">
        <v>14</v>
      </c>
      <c r="F238" t="s">
        <v>50</v>
      </c>
      <c r="G238" t="s">
        <v>156</v>
      </c>
      <c r="H238" t="s">
        <v>812</v>
      </c>
      <c r="I238" t="s">
        <v>813</v>
      </c>
      <c r="J238" s="2">
        <v>45529</v>
      </c>
      <c r="K238" t="s">
        <v>71</v>
      </c>
      <c r="L238" t="s">
        <v>20</v>
      </c>
    </row>
    <row r="239" spans="1:12">
      <c r="A239" t="s">
        <v>814</v>
      </c>
      <c r="B239" t="s">
        <v>107</v>
      </c>
      <c r="C239" t="s">
        <v>138</v>
      </c>
      <c r="D239" t="str">
        <f>_xlfn.CONCAT(tblEmployees[[#This Row],[First_Name]]," ",tblEmployees[[#This Row],[Last_Name]])</f>
        <v>Sahil Ansari</v>
      </c>
      <c r="E239" t="s">
        <v>24</v>
      </c>
      <c r="F239" t="s">
        <v>59</v>
      </c>
      <c r="G239" t="s">
        <v>161</v>
      </c>
      <c r="H239" t="s">
        <v>815</v>
      </c>
      <c r="I239" t="s">
        <v>816</v>
      </c>
      <c r="J239" s="2">
        <v>45530</v>
      </c>
      <c r="K239" t="s">
        <v>79</v>
      </c>
      <c r="L239" t="s">
        <v>46</v>
      </c>
    </row>
    <row r="240" spans="1:12">
      <c r="A240" t="s">
        <v>817</v>
      </c>
      <c r="B240" t="s">
        <v>113</v>
      </c>
      <c r="C240" t="s">
        <v>144</v>
      </c>
      <c r="D240" t="str">
        <f>_xlfn.CONCAT(tblEmployees[[#This Row],[First_Name]]," ",tblEmployees[[#This Row],[Last_Name]])</f>
        <v>Aisha Rathod</v>
      </c>
      <c r="E240" t="s">
        <v>14</v>
      </c>
      <c r="F240" t="s">
        <v>67</v>
      </c>
      <c r="G240" t="s">
        <v>166</v>
      </c>
      <c r="H240" t="s">
        <v>818</v>
      </c>
      <c r="I240" t="s">
        <v>819</v>
      </c>
      <c r="J240" s="2">
        <v>45531</v>
      </c>
      <c r="K240" t="s">
        <v>86</v>
      </c>
      <c r="L240" t="s">
        <v>55</v>
      </c>
    </row>
    <row r="241" spans="1:12">
      <c r="A241" t="s">
        <v>820</v>
      </c>
      <c r="B241" t="s">
        <v>119</v>
      </c>
      <c r="C241" t="s">
        <v>150</v>
      </c>
      <c r="D241" t="str">
        <f>_xlfn.CONCAT(tblEmployees[[#This Row],[First_Name]]," ",tblEmployees[[#This Row],[Last_Name]])</f>
        <v>Riya Pawar</v>
      </c>
      <c r="E241" t="s">
        <v>24</v>
      </c>
      <c r="F241" t="s">
        <v>75</v>
      </c>
      <c r="G241" t="s">
        <v>171</v>
      </c>
      <c r="H241" t="s">
        <v>821</v>
      </c>
      <c r="I241" t="s">
        <v>822</v>
      </c>
      <c r="J241" s="2">
        <v>45532</v>
      </c>
      <c r="K241" t="s">
        <v>93</v>
      </c>
      <c r="L241" t="s">
        <v>20</v>
      </c>
    </row>
    <row r="242" spans="1:12">
      <c r="A242" t="s">
        <v>823</v>
      </c>
      <c r="B242" t="s">
        <v>125</v>
      </c>
      <c r="C242" t="s">
        <v>13</v>
      </c>
      <c r="D242" t="str">
        <f>_xlfn.CONCAT(tblEmployees[[#This Row],[First_Name]]," ",tblEmployees[[#This Row],[Last_Name]])</f>
        <v>Vivek Sharma</v>
      </c>
      <c r="E242" t="s">
        <v>14</v>
      </c>
      <c r="F242" t="s">
        <v>15</v>
      </c>
      <c r="G242" t="s">
        <v>16</v>
      </c>
      <c r="H242" t="s">
        <v>824</v>
      </c>
      <c r="I242" t="s">
        <v>825</v>
      </c>
      <c r="J242" s="2">
        <v>45533</v>
      </c>
      <c r="K242" t="s">
        <v>19</v>
      </c>
      <c r="L242" t="s">
        <v>20</v>
      </c>
    </row>
    <row r="243" spans="1:12">
      <c r="A243" t="s">
        <v>826</v>
      </c>
      <c r="B243" t="s">
        <v>131</v>
      </c>
      <c r="C243" t="s">
        <v>23</v>
      </c>
      <c r="D243" t="str">
        <f>_xlfn.CONCAT(tblEmployees[[#This Row],[First_Name]]," ",tblEmployees[[#This Row],[Last_Name]])</f>
        <v>Aditya Patel</v>
      </c>
      <c r="E243" t="s">
        <v>24</v>
      </c>
      <c r="F243" t="s">
        <v>25</v>
      </c>
      <c r="G243" t="s">
        <v>26</v>
      </c>
      <c r="H243" t="s">
        <v>827</v>
      </c>
      <c r="I243" t="s">
        <v>828</v>
      </c>
      <c r="J243" s="2">
        <v>45534</v>
      </c>
      <c r="K243" t="s">
        <v>29</v>
      </c>
      <c r="L243" t="s">
        <v>20</v>
      </c>
    </row>
    <row r="244" spans="1:12">
      <c r="A244" t="s">
        <v>829</v>
      </c>
      <c r="B244" t="s">
        <v>137</v>
      </c>
      <c r="C244" t="s">
        <v>32</v>
      </c>
      <c r="D244" t="str">
        <f>_xlfn.CONCAT(tblEmployees[[#This Row],[First_Name]]," ",tblEmployees[[#This Row],[Last_Name]])</f>
        <v>Nisha Gupta</v>
      </c>
      <c r="E244" t="s">
        <v>14</v>
      </c>
      <c r="F244" t="s">
        <v>33</v>
      </c>
      <c r="G244" t="s">
        <v>34</v>
      </c>
      <c r="H244" t="s">
        <v>830</v>
      </c>
      <c r="I244" t="s">
        <v>831</v>
      </c>
      <c r="J244" s="2">
        <v>45535</v>
      </c>
      <c r="K244" t="s">
        <v>37</v>
      </c>
      <c r="L244" t="s">
        <v>20</v>
      </c>
    </row>
    <row r="245" spans="1:12">
      <c r="A245" t="s">
        <v>832</v>
      </c>
      <c r="B245" t="s">
        <v>143</v>
      </c>
      <c r="C245" t="s">
        <v>40</v>
      </c>
      <c r="D245" t="str">
        <f>_xlfn.CONCAT(tblEmployees[[#This Row],[First_Name]]," ",tblEmployees[[#This Row],[Last_Name]])</f>
        <v>Deepak Singh</v>
      </c>
      <c r="E245" t="s">
        <v>24</v>
      </c>
      <c r="F245" t="s">
        <v>41</v>
      </c>
      <c r="G245" t="s">
        <v>42</v>
      </c>
      <c r="H245" t="s">
        <v>833</v>
      </c>
      <c r="I245" t="s">
        <v>834</v>
      </c>
      <c r="J245" s="2">
        <v>45536</v>
      </c>
      <c r="K245" t="s">
        <v>45</v>
      </c>
      <c r="L245" t="s">
        <v>46</v>
      </c>
    </row>
    <row r="246" spans="1:12">
      <c r="A246" t="s">
        <v>835</v>
      </c>
      <c r="B246" t="s">
        <v>149</v>
      </c>
      <c r="C246" t="s">
        <v>49</v>
      </c>
      <c r="D246" t="str">
        <f>_xlfn.CONCAT(tblEmployees[[#This Row],[First_Name]]," ",tblEmployees[[#This Row],[Last_Name]])</f>
        <v>Komal Verma</v>
      </c>
      <c r="E246" t="s">
        <v>14</v>
      </c>
      <c r="F246" t="s">
        <v>50</v>
      </c>
      <c r="G246" t="s">
        <v>51</v>
      </c>
      <c r="H246" t="s">
        <v>836</v>
      </c>
      <c r="I246" t="s">
        <v>837</v>
      </c>
      <c r="J246" s="2">
        <v>45537</v>
      </c>
      <c r="K246" t="s">
        <v>54</v>
      </c>
      <c r="L246" t="s">
        <v>55</v>
      </c>
    </row>
    <row r="247" spans="1:12">
      <c r="A247" t="s">
        <v>838</v>
      </c>
      <c r="B247" t="s">
        <v>155</v>
      </c>
      <c r="C247" t="s">
        <v>58</v>
      </c>
      <c r="D247" t="str">
        <f>_xlfn.CONCAT(tblEmployees[[#This Row],[First_Name]]," ",tblEmployees[[#This Row],[Last_Name]])</f>
        <v>Sameer Joshi</v>
      </c>
      <c r="E247" t="s">
        <v>24</v>
      </c>
      <c r="F247" t="s">
        <v>59</v>
      </c>
      <c r="G247" t="s">
        <v>60</v>
      </c>
      <c r="H247" t="s">
        <v>839</v>
      </c>
      <c r="I247" t="s">
        <v>840</v>
      </c>
      <c r="J247" s="2">
        <v>45538</v>
      </c>
      <c r="K247" t="s">
        <v>63</v>
      </c>
      <c r="L247" t="s">
        <v>20</v>
      </c>
    </row>
    <row r="248" spans="1:12">
      <c r="A248" t="s">
        <v>841</v>
      </c>
      <c r="B248" t="s">
        <v>160</v>
      </c>
      <c r="C248" t="s">
        <v>66</v>
      </c>
      <c r="D248" t="str">
        <f>_xlfn.CONCAT(tblEmployees[[#This Row],[First_Name]]," ",tblEmployees[[#This Row],[Last_Name]])</f>
        <v>Farhan Kulkarni</v>
      </c>
      <c r="E248" t="s">
        <v>14</v>
      </c>
      <c r="F248" t="s">
        <v>67</v>
      </c>
      <c r="G248" t="s">
        <v>68</v>
      </c>
      <c r="H248" t="s">
        <v>842</v>
      </c>
      <c r="I248" t="s">
        <v>843</v>
      </c>
      <c r="J248" s="2">
        <v>45539</v>
      </c>
      <c r="K248" t="s">
        <v>71</v>
      </c>
      <c r="L248" t="s">
        <v>20</v>
      </c>
    </row>
    <row r="249" spans="1:12">
      <c r="A249" t="s">
        <v>844</v>
      </c>
      <c r="B249" t="s">
        <v>165</v>
      </c>
      <c r="C249" t="s">
        <v>74</v>
      </c>
      <c r="D249" t="str">
        <f>_xlfn.CONCAT(tblEmployees[[#This Row],[First_Name]]," ",tblEmployees[[#This Row],[Last_Name]])</f>
        <v>Isha Shaikh</v>
      </c>
      <c r="E249" t="s">
        <v>24</v>
      </c>
      <c r="F249" t="s">
        <v>75</v>
      </c>
      <c r="G249" t="s">
        <v>76</v>
      </c>
      <c r="H249" t="s">
        <v>845</v>
      </c>
      <c r="I249" t="s">
        <v>846</v>
      </c>
      <c r="J249" s="2">
        <v>45540</v>
      </c>
      <c r="K249" t="s">
        <v>79</v>
      </c>
      <c r="L249" t="s">
        <v>20</v>
      </c>
    </row>
    <row r="250" spans="1:12">
      <c r="A250" t="s">
        <v>847</v>
      </c>
      <c r="B250" t="s">
        <v>170</v>
      </c>
      <c r="C250" t="s">
        <v>82</v>
      </c>
      <c r="D250" t="str">
        <f>_xlfn.CONCAT(tblEmployees[[#This Row],[First_Name]]," ",tblEmployees[[#This Row],[Last_Name]])</f>
        <v>Sonia Khan</v>
      </c>
      <c r="E250" t="s">
        <v>14</v>
      </c>
      <c r="F250" t="s">
        <v>15</v>
      </c>
      <c r="G250" t="s">
        <v>83</v>
      </c>
      <c r="H250" t="s">
        <v>848</v>
      </c>
      <c r="I250" t="s">
        <v>849</v>
      </c>
      <c r="J250" s="2">
        <v>45541</v>
      </c>
      <c r="K250" t="s">
        <v>86</v>
      </c>
      <c r="L250" t="s">
        <v>20</v>
      </c>
    </row>
    <row r="251" spans="1:12">
      <c r="A251" t="s">
        <v>850</v>
      </c>
      <c r="B251" t="s">
        <v>175</v>
      </c>
      <c r="C251" t="s">
        <v>89</v>
      </c>
      <c r="D251" t="str">
        <f>_xlfn.CONCAT(tblEmployees[[#This Row],[First_Name]]," ",tblEmployees[[#This Row],[Last_Name]])</f>
        <v>Akash Yadav</v>
      </c>
      <c r="E251" t="s">
        <v>24</v>
      </c>
      <c r="F251" t="s">
        <v>25</v>
      </c>
      <c r="G251" t="s">
        <v>90</v>
      </c>
      <c r="H251" t="s">
        <v>851</v>
      </c>
      <c r="I251" t="s">
        <v>852</v>
      </c>
      <c r="J251" s="2">
        <v>45542</v>
      </c>
      <c r="K251" t="s">
        <v>93</v>
      </c>
      <c r="L251" t="s">
        <v>46</v>
      </c>
    </row>
    <row r="252" spans="1:12">
      <c r="A252" t="s">
        <v>853</v>
      </c>
      <c r="B252" t="s">
        <v>12</v>
      </c>
      <c r="C252" t="s">
        <v>96</v>
      </c>
      <c r="D252" t="str">
        <f>_xlfn.CONCAT(tblEmployees[[#This Row],[First_Name]]," ",tblEmployees[[#This Row],[Last_Name]])</f>
        <v>Rahul More</v>
      </c>
      <c r="E252" t="s">
        <v>14</v>
      </c>
      <c r="F252" t="s">
        <v>33</v>
      </c>
      <c r="G252" t="s">
        <v>97</v>
      </c>
      <c r="H252" t="s">
        <v>854</v>
      </c>
      <c r="I252" t="s">
        <v>855</v>
      </c>
      <c r="J252" s="2">
        <v>45543</v>
      </c>
      <c r="K252" t="s">
        <v>19</v>
      </c>
      <c r="L252" t="s">
        <v>55</v>
      </c>
    </row>
    <row r="253" spans="1:12">
      <c r="A253" t="s">
        <v>856</v>
      </c>
      <c r="B253" t="s">
        <v>22</v>
      </c>
      <c r="C253" t="s">
        <v>102</v>
      </c>
      <c r="D253" t="str">
        <f>_xlfn.CONCAT(tblEmployees[[#This Row],[First_Name]]," ",tblEmployees[[#This Row],[Last_Name]])</f>
        <v>Priya Jadhav</v>
      </c>
      <c r="E253" t="s">
        <v>24</v>
      </c>
      <c r="F253" t="s">
        <v>41</v>
      </c>
      <c r="G253" t="s">
        <v>103</v>
      </c>
      <c r="H253" t="s">
        <v>857</v>
      </c>
      <c r="I253" t="s">
        <v>858</v>
      </c>
      <c r="J253" s="2">
        <v>45544</v>
      </c>
      <c r="K253" t="s">
        <v>29</v>
      </c>
      <c r="L253" t="s">
        <v>20</v>
      </c>
    </row>
    <row r="254" spans="1:12">
      <c r="A254" t="s">
        <v>859</v>
      </c>
      <c r="B254" t="s">
        <v>31</v>
      </c>
      <c r="C254" t="s">
        <v>108</v>
      </c>
      <c r="D254" t="str">
        <f>_xlfn.CONCAT(tblEmployees[[#This Row],[First_Name]]," ",tblEmployees[[#This Row],[Last_Name]])</f>
        <v>Amit Patil</v>
      </c>
      <c r="E254" t="s">
        <v>14</v>
      </c>
      <c r="F254" t="s">
        <v>50</v>
      </c>
      <c r="G254" t="s">
        <v>109</v>
      </c>
      <c r="H254" t="s">
        <v>860</v>
      </c>
      <c r="I254" t="s">
        <v>861</v>
      </c>
      <c r="J254" s="2">
        <v>45545</v>
      </c>
      <c r="K254" t="s">
        <v>37</v>
      </c>
      <c r="L254" t="s">
        <v>20</v>
      </c>
    </row>
    <row r="255" spans="1:12">
      <c r="A255" t="s">
        <v>862</v>
      </c>
      <c r="B255" t="s">
        <v>39</v>
      </c>
      <c r="C255" t="s">
        <v>114</v>
      </c>
      <c r="D255" t="str">
        <f>_xlfn.CONCAT(tblEmployees[[#This Row],[First_Name]]," ",tblEmployees[[#This Row],[Last_Name]])</f>
        <v>Sneha Deshmukh</v>
      </c>
      <c r="E255" t="s">
        <v>24</v>
      </c>
      <c r="F255" t="s">
        <v>59</v>
      </c>
      <c r="G255" t="s">
        <v>115</v>
      </c>
      <c r="H255" t="s">
        <v>863</v>
      </c>
      <c r="I255" t="s">
        <v>864</v>
      </c>
      <c r="J255" s="2">
        <v>45546</v>
      </c>
      <c r="K255" t="s">
        <v>45</v>
      </c>
      <c r="L255" t="s">
        <v>20</v>
      </c>
    </row>
    <row r="256" spans="1:12">
      <c r="A256" t="s">
        <v>865</v>
      </c>
      <c r="B256" t="s">
        <v>48</v>
      </c>
      <c r="C256" t="s">
        <v>120</v>
      </c>
      <c r="D256" t="str">
        <f>_xlfn.CONCAT(tblEmployees[[#This Row],[First_Name]]," ",tblEmployees[[#This Row],[Last_Name]])</f>
        <v>Rohan Shinde</v>
      </c>
      <c r="E256" t="s">
        <v>14</v>
      </c>
      <c r="F256" t="s">
        <v>67</v>
      </c>
      <c r="G256" t="s">
        <v>121</v>
      </c>
      <c r="H256" t="s">
        <v>866</v>
      </c>
      <c r="I256" t="s">
        <v>867</v>
      </c>
      <c r="J256" s="2">
        <v>45547</v>
      </c>
      <c r="K256" t="s">
        <v>54</v>
      </c>
      <c r="L256" t="s">
        <v>20</v>
      </c>
    </row>
    <row r="257" spans="1:12">
      <c r="A257" t="s">
        <v>868</v>
      </c>
      <c r="B257" t="s">
        <v>57</v>
      </c>
      <c r="C257" t="s">
        <v>126</v>
      </c>
      <c r="D257" t="str">
        <f>_xlfn.CONCAT(tblEmployees[[#This Row],[First_Name]]," ",tblEmployees[[#This Row],[Last_Name]])</f>
        <v>Pooja Mane</v>
      </c>
      <c r="E257" t="s">
        <v>24</v>
      </c>
      <c r="F257" t="s">
        <v>75</v>
      </c>
      <c r="G257" t="s">
        <v>127</v>
      </c>
      <c r="H257" t="s">
        <v>869</v>
      </c>
      <c r="I257" t="s">
        <v>870</v>
      </c>
      <c r="J257" s="2">
        <v>45548</v>
      </c>
      <c r="K257" t="s">
        <v>63</v>
      </c>
      <c r="L257" t="s">
        <v>46</v>
      </c>
    </row>
    <row r="258" spans="1:12">
      <c r="A258" t="s">
        <v>871</v>
      </c>
      <c r="B258" t="s">
        <v>65</v>
      </c>
      <c r="C258" t="s">
        <v>132</v>
      </c>
      <c r="D258" t="str">
        <f>_xlfn.CONCAT(tblEmployees[[#This Row],[First_Name]]," ",tblEmployees[[#This Row],[Last_Name]])</f>
        <v>Arjun Chavan</v>
      </c>
      <c r="E258" t="s">
        <v>14</v>
      </c>
      <c r="F258" t="s">
        <v>15</v>
      </c>
      <c r="G258" t="s">
        <v>133</v>
      </c>
      <c r="H258" t="s">
        <v>872</v>
      </c>
      <c r="I258" t="s">
        <v>873</v>
      </c>
      <c r="J258" s="2">
        <v>45549</v>
      </c>
      <c r="K258" t="s">
        <v>71</v>
      </c>
      <c r="L258" t="s">
        <v>55</v>
      </c>
    </row>
    <row r="259" spans="1:12">
      <c r="A259" t="s">
        <v>874</v>
      </c>
      <c r="B259" t="s">
        <v>73</v>
      </c>
      <c r="C259" t="s">
        <v>138</v>
      </c>
      <c r="D259" t="str">
        <f>_xlfn.CONCAT(tblEmployees[[#This Row],[First_Name]]," ",tblEmployees[[#This Row],[Last_Name]])</f>
        <v>Neha Ansari</v>
      </c>
      <c r="E259" t="s">
        <v>24</v>
      </c>
      <c r="F259" t="s">
        <v>25</v>
      </c>
      <c r="G259" t="s">
        <v>139</v>
      </c>
      <c r="H259" t="s">
        <v>875</v>
      </c>
      <c r="I259" t="s">
        <v>876</v>
      </c>
      <c r="J259" s="2">
        <v>45550</v>
      </c>
      <c r="K259" t="s">
        <v>79</v>
      </c>
      <c r="L259" t="s">
        <v>20</v>
      </c>
    </row>
    <row r="260" spans="1:12">
      <c r="A260" t="s">
        <v>877</v>
      </c>
      <c r="B260" t="s">
        <v>81</v>
      </c>
      <c r="C260" t="s">
        <v>144</v>
      </c>
      <c r="D260" t="str">
        <f>_xlfn.CONCAT(tblEmployees[[#This Row],[First_Name]]," ",tblEmployees[[#This Row],[Last_Name]])</f>
        <v>Karan Rathod</v>
      </c>
      <c r="E260" t="s">
        <v>14</v>
      </c>
      <c r="F260" t="s">
        <v>33</v>
      </c>
      <c r="G260" t="s">
        <v>145</v>
      </c>
      <c r="H260" t="s">
        <v>878</v>
      </c>
      <c r="I260" t="s">
        <v>879</v>
      </c>
      <c r="J260" s="2">
        <v>45551</v>
      </c>
      <c r="K260" t="s">
        <v>86</v>
      </c>
      <c r="L260" t="s">
        <v>20</v>
      </c>
    </row>
    <row r="261" spans="1:12">
      <c r="A261" t="s">
        <v>880</v>
      </c>
      <c r="B261" t="s">
        <v>88</v>
      </c>
      <c r="C261" t="s">
        <v>150</v>
      </c>
      <c r="D261" t="str">
        <f>_xlfn.CONCAT(tblEmployees[[#This Row],[First_Name]]," ",tblEmployees[[#This Row],[Last_Name]])</f>
        <v>Anjali Pawar</v>
      </c>
      <c r="E261" t="s">
        <v>24</v>
      </c>
      <c r="F261" t="s">
        <v>41</v>
      </c>
      <c r="G261" t="s">
        <v>151</v>
      </c>
      <c r="H261" t="s">
        <v>881</v>
      </c>
      <c r="I261" t="s">
        <v>882</v>
      </c>
      <c r="J261" s="2">
        <v>45552</v>
      </c>
      <c r="K261" t="s">
        <v>93</v>
      </c>
      <c r="L261" t="s">
        <v>20</v>
      </c>
    </row>
    <row r="262" spans="1:12">
      <c r="A262" t="s">
        <v>883</v>
      </c>
      <c r="B262" t="s">
        <v>95</v>
      </c>
      <c r="C262" t="s">
        <v>13</v>
      </c>
      <c r="D262" t="str">
        <f>_xlfn.CONCAT(tblEmployees[[#This Row],[First_Name]]," ",tblEmployees[[#This Row],[Last_Name]])</f>
        <v>Vikas Sharma</v>
      </c>
      <c r="E262" t="s">
        <v>14</v>
      </c>
      <c r="F262" t="s">
        <v>50</v>
      </c>
      <c r="G262" t="s">
        <v>156</v>
      </c>
      <c r="H262" t="s">
        <v>884</v>
      </c>
      <c r="I262" t="s">
        <v>885</v>
      </c>
      <c r="J262" s="2">
        <v>45553</v>
      </c>
      <c r="K262" t="s">
        <v>19</v>
      </c>
      <c r="L262" t="s">
        <v>20</v>
      </c>
    </row>
    <row r="263" spans="1:12">
      <c r="A263" t="s">
        <v>886</v>
      </c>
      <c r="B263" t="s">
        <v>101</v>
      </c>
      <c r="C263" t="s">
        <v>23</v>
      </c>
      <c r="D263" t="str">
        <f>_xlfn.CONCAT(tblEmployees[[#This Row],[First_Name]]," ",tblEmployees[[#This Row],[Last_Name]])</f>
        <v>Meera Patel</v>
      </c>
      <c r="E263" t="s">
        <v>24</v>
      </c>
      <c r="F263" t="s">
        <v>59</v>
      </c>
      <c r="G263" t="s">
        <v>161</v>
      </c>
      <c r="H263" t="s">
        <v>887</v>
      </c>
      <c r="I263" t="s">
        <v>888</v>
      </c>
      <c r="J263" s="2">
        <v>45554</v>
      </c>
      <c r="K263" t="s">
        <v>29</v>
      </c>
      <c r="L263" t="s">
        <v>46</v>
      </c>
    </row>
    <row r="264" spans="1:12">
      <c r="A264" t="s">
        <v>889</v>
      </c>
      <c r="B264" t="s">
        <v>107</v>
      </c>
      <c r="C264" t="s">
        <v>32</v>
      </c>
      <c r="D264" t="str">
        <f>_xlfn.CONCAT(tblEmployees[[#This Row],[First_Name]]," ",tblEmployees[[#This Row],[Last_Name]])</f>
        <v>Sahil Gupta</v>
      </c>
      <c r="E264" t="s">
        <v>14</v>
      </c>
      <c r="F264" t="s">
        <v>67</v>
      </c>
      <c r="G264" t="s">
        <v>166</v>
      </c>
      <c r="H264" t="s">
        <v>890</v>
      </c>
      <c r="I264" t="s">
        <v>891</v>
      </c>
      <c r="J264" s="2">
        <v>45555</v>
      </c>
      <c r="K264" t="s">
        <v>37</v>
      </c>
      <c r="L264" t="s">
        <v>55</v>
      </c>
    </row>
    <row r="265" spans="1:12">
      <c r="A265" t="s">
        <v>892</v>
      </c>
      <c r="B265" t="s">
        <v>113</v>
      </c>
      <c r="C265" t="s">
        <v>40</v>
      </c>
      <c r="D265" t="str">
        <f>_xlfn.CONCAT(tblEmployees[[#This Row],[First_Name]]," ",tblEmployees[[#This Row],[Last_Name]])</f>
        <v>Aisha Singh</v>
      </c>
      <c r="E265" t="s">
        <v>24</v>
      </c>
      <c r="F265" t="s">
        <v>75</v>
      </c>
      <c r="G265" t="s">
        <v>171</v>
      </c>
      <c r="H265" t="s">
        <v>893</v>
      </c>
      <c r="I265" t="s">
        <v>894</v>
      </c>
      <c r="J265" s="2">
        <v>45556</v>
      </c>
      <c r="K265" t="s">
        <v>45</v>
      </c>
      <c r="L265" t="s">
        <v>20</v>
      </c>
    </row>
    <row r="266" spans="1:12">
      <c r="A266" t="s">
        <v>895</v>
      </c>
      <c r="B266" t="s">
        <v>119</v>
      </c>
      <c r="C266" t="s">
        <v>49</v>
      </c>
      <c r="D266" t="str">
        <f>_xlfn.CONCAT(tblEmployees[[#This Row],[First_Name]]," ",tblEmployees[[#This Row],[Last_Name]])</f>
        <v>Riya Verma</v>
      </c>
      <c r="E266" t="s">
        <v>14</v>
      </c>
      <c r="F266" t="s">
        <v>15</v>
      </c>
      <c r="G266" t="s">
        <v>16</v>
      </c>
      <c r="H266" t="s">
        <v>896</v>
      </c>
      <c r="I266" t="s">
        <v>897</v>
      </c>
      <c r="J266" s="2">
        <v>45557</v>
      </c>
      <c r="K266" t="s">
        <v>54</v>
      </c>
      <c r="L266" t="s">
        <v>20</v>
      </c>
    </row>
    <row r="267" spans="1:12">
      <c r="A267" t="s">
        <v>898</v>
      </c>
      <c r="B267" t="s">
        <v>125</v>
      </c>
      <c r="C267" t="s">
        <v>58</v>
      </c>
      <c r="D267" t="str">
        <f>_xlfn.CONCAT(tblEmployees[[#This Row],[First_Name]]," ",tblEmployees[[#This Row],[Last_Name]])</f>
        <v>Vivek Joshi</v>
      </c>
      <c r="E267" t="s">
        <v>24</v>
      </c>
      <c r="F267" t="s">
        <v>25</v>
      </c>
      <c r="G267" t="s">
        <v>26</v>
      </c>
      <c r="H267" t="s">
        <v>899</v>
      </c>
      <c r="I267" t="s">
        <v>900</v>
      </c>
      <c r="J267" s="2">
        <v>45558</v>
      </c>
      <c r="K267" t="s">
        <v>63</v>
      </c>
      <c r="L267" t="s">
        <v>20</v>
      </c>
    </row>
    <row r="268" spans="1:12">
      <c r="A268" t="s">
        <v>901</v>
      </c>
      <c r="B268" t="s">
        <v>131</v>
      </c>
      <c r="C268" t="s">
        <v>66</v>
      </c>
      <c r="D268" t="str">
        <f>_xlfn.CONCAT(tblEmployees[[#This Row],[First_Name]]," ",tblEmployees[[#This Row],[Last_Name]])</f>
        <v>Aditya Kulkarni</v>
      </c>
      <c r="E268" t="s">
        <v>14</v>
      </c>
      <c r="F268" t="s">
        <v>33</v>
      </c>
      <c r="G268" t="s">
        <v>34</v>
      </c>
      <c r="H268" t="s">
        <v>902</v>
      </c>
      <c r="I268" t="s">
        <v>903</v>
      </c>
      <c r="J268" s="2">
        <v>45559</v>
      </c>
      <c r="K268" t="s">
        <v>71</v>
      </c>
      <c r="L268" t="s">
        <v>20</v>
      </c>
    </row>
    <row r="269" spans="1:12">
      <c r="A269" t="s">
        <v>904</v>
      </c>
      <c r="B269" t="s">
        <v>137</v>
      </c>
      <c r="C269" t="s">
        <v>74</v>
      </c>
      <c r="D269" t="str">
        <f>_xlfn.CONCAT(tblEmployees[[#This Row],[First_Name]]," ",tblEmployees[[#This Row],[Last_Name]])</f>
        <v>Nisha Shaikh</v>
      </c>
      <c r="E269" t="s">
        <v>24</v>
      </c>
      <c r="F269" t="s">
        <v>41</v>
      </c>
      <c r="G269" t="s">
        <v>42</v>
      </c>
      <c r="H269" t="s">
        <v>905</v>
      </c>
      <c r="I269" t="s">
        <v>906</v>
      </c>
      <c r="J269" s="2">
        <v>45560</v>
      </c>
      <c r="K269" t="s">
        <v>79</v>
      </c>
      <c r="L269" t="s">
        <v>46</v>
      </c>
    </row>
    <row r="270" spans="1:12">
      <c r="A270" t="s">
        <v>907</v>
      </c>
      <c r="B270" t="s">
        <v>143</v>
      </c>
      <c r="C270" t="s">
        <v>82</v>
      </c>
      <c r="D270" t="str">
        <f>_xlfn.CONCAT(tblEmployees[[#This Row],[First_Name]]," ",tblEmployees[[#This Row],[Last_Name]])</f>
        <v>Deepak Khan</v>
      </c>
      <c r="E270" t="s">
        <v>14</v>
      </c>
      <c r="F270" t="s">
        <v>50</v>
      </c>
      <c r="G270" t="s">
        <v>51</v>
      </c>
      <c r="H270" t="s">
        <v>908</v>
      </c>
      <c r="I270" t="s">
        <v>909</v>
      </c>
      <c r="J270" s="2">
        <v>45561</v>
      </c>
      <c r="K270" t="s">
        <v>86</v>
      </c>
      <c r="L270" t="s">
        <v>55</v>
      </c>
    </row>
    <row r="271" spans="1:12">
      <c r="A271" t="s">
        <v>910</v>
      </c>
      <c r="B271" t="s">
        <v>149</v>
      </c>
      <c r="C271" t="s">
        <v>89</v>
      </c>
      <c r="D271" t="str">
        <f>_xlfn.CONCAT(tblEmployees[[#This Row],[First_Name]]," ",tblEmployees[[#This Row],[Last_Name]])</f>
        <v>Komal Yadav</v>
      </c>
      <c r="E271" t="s">
        <v>24</v>
      </c>
      <c r="F271" t="s">
        <v>59</v>
      </c>
      <c r="G271" t="s">
        <v>60</v>
      </c>
      <c r="H271" t="s">
        <v>911</v>
      </c>
      <c r="I271" t="s">
        <v>912</v>
      </c>
      <c r="J271" s="2">
        <v>45562</v>
      </c>
      <c r="K271" t="s">
        <v>93</v>
      </c>
      <c r="L271" t="s">
        <v>20</v>
      </c>
    </row>
    <row r="272" spans="1:12">
      <c r="A272" t="s">
        <v>913</v>
      </c>
      <c r="B272" t="s">
        <v>155</v>
      </c>
      <c r="C272" t="s">
        <v>96</v>
      </c>
      <c r="D272" t="str">
        <f>_xlfn.CONCAT(tblEmployees[[#This Row],[First_Name]]," ",tblEmployees[[#This Row],[Last_Name]])</f>
        <v>Sameer More</v>
      </c>
      <c r="E272" t="s">
        <v>14</v>
      </c>
      <c r="F272" t="s">
        <v>67</v>
      </c>
      <c r="G272" t="s">
        <v>68</v>
      </c>
      <c r="H272" t="s">
        <v>914</v>
      </c>
      <c r="I272" t="s">
        <v>915</v>
      </c>
      <c r="J272" s="2">
        <v>45563</v>
      </c>
      <c r="K272" t="s">
        <v>19</v>
      </c>
      <c r="L272" t="s">
        <v>20</v>
      </c>
    </row>
    <row r="273" spans="1:12">
      <c r="A273" t="s">
        <v>916</v>
      </c>
      <c r="B273" t="s">
        <v>160</v>
      </c>
      <c r="C273" t="s">
        <v>102</v>
      </c>
      <c r="D273" t="str">
        <f>_xlfn.CONCAT(tblEmployees[[#This Row],[First_Name]]," ",tblEmployees[[#This Row],[Last_Name]])</f>
        <v>Farhan Jadhav</v>
      </c>
      <c r="E273" t="s">
        <v>24</v>
      </c>
      <c r="F273" t="s">
        <v>75</v>
      </c>
      <c r="G273" t="s">
        <v>76</v>
      </c>
      <c r="H273" t="s">
        <v>917</v>
      </c>
      <c r="I273" t="s">
        <v>918</v>
      </c>
      <c r="J273" s="2">
        <v>45564</v>
      </c>
      <c r="K273" t="s">
        <v>29</v>
      </c>
      <c r="L273" t="s">
        <v>20</v>
      </c>
    </row>
    <row r="274" spans="1:12">
      <c r="A274" t="s">
        <v>919</v>
      </c>
      <c r="B274" t="s">
        <v>165</v>
      </c>
      <c r="C274" t="s">
        <v>108</v>
      </c>
      <c r="D274" t="str">
        <f>_xlfn.CONCAT(tblEmployees[[#This Row],[First_Name]]," ",tblEmployees[[#This Row],[Last_Name]])</f>
        <v>Isha Patil</v>
      </c>
      <c r="E274" t="s">
        <v>14</v>
      </c>
      <c r="F274" t="s">
        <v>15</v>
      </c>
      <c r="G274" t="s">
        <v>83</v>
      </c>
      <c r="H274" t="s">
        <v>920</v>
      </c>
      <c r="I274" t="s">
        <v>921</v>
      </c>
      <c r="J274" s="2">
        <v>45565</v>
      </c>
      <c r="K274" t="s">
        <v>37</v>
      </c>
      <c r="L274" t="s">
        <v>20</v>
      </c>
    </row>
    <row r="275" spans="1:12">
      <c r="A275" t="s">
        <v>922</v>
      </c>
      <c r="B275" t="s">
        <v>170</v>
      </c>
      <c r="C275" t="s">
        <v>114</v>
      </c>
      <c r="D275" t="str">
        <f>_xlfn.CONCAT(tblEmployees[[#This Row],[First_Name]]," ",tblEmployees[[#This Row],[Last_Name]])</f>
        <v>Sonia Deshmukh</v>
      </c>
      <c r="E275" t="s">
        <v>24</v>
      </c>
      <c r="F275" t="s">
        <v>25</v>
      </c>
      <c r="G275" t="s">
        <v>90</v>
      </c>
      <c r="H275" t="s">
        <v>923</v>
      </c>
      <c r="I275" t="s">
        <v>924</v>
      </c>
      <c r="J275" s="2">
        <v>45566</v>
      </c>
      <c r="K275" t="s">
        <v>45</v>
      </c>
      <c r="L275" t="s">
        <v>46</v>
      </c>
    </row>
    <row r="276" spans="1:12">
      <c r="A276" t="s">
        <v>925</v>
      </c>
      <c r="B276" t="s">
        <v>175</v>
      </c>
      <c r="C276" t="s">
        <v>120</v>
      </c>
      <c r="D276" t="str">
        <f>_xlfn.CONCAT(tblEmployees[[#This Row],[First_Name]]," ",tblEmployees[[#This Row],[Last_Name]])</f>
        <v>Akash Shinde</v>
      </c>
      <c r="E276" t="s">
        <v>14</v>
      </c>
      <c r="F276" t="s">
        <v>33</v>
      </c>
      <c r="G276" t="s">
        <v>97</v>
      </c>
      <c r="H276" t="s">
        <v>926</v>
      </c>
      <c r="I276" t="s">
        <v>927</v>
      </c>
      <c r="J276" s="2">
        <v>45567</v>
      </c>
      <c r="K276" t="s">
        <v>54</v>
      </c>
      <c r="L276" t="s">
        <v>55</v>
      </c>
    </row>
    <row r="277" spans="1:12">
      <c r="A277" t="s">
        <v>928</v>
      </c>
      <c r="B277" t="s">
        <v>12</v>
      </c>
      <c r="C277" t="s">
        <v>126</v>
      </c>
      <c r="D277" t="str">
        <f>_xlfn.CONCAT(tblEmployees[[#This Row],[First_Name]]," ",tblEmployees[[#This Row],[Last_Name]])</f>
        <v>Rahul Mane</v>
      </c>
      <c r="E277" t="s">
        <v>24</v>
      </c>
      <c r="F277" t="s">
        <v>41</v>
      </c>
      <c r="G277" t="s">
        <v>103</v>
      </c>
      <c r="H277" t="s">
        <v>929</v>
      </c>
      <c r="I277" t="s">
        <v>930</v>
      </c>
      <c r="J277" s="2">
        <v>45568</v>
      </c>
      <c r="K277" t="s">
        <v>63</v>
      </c>
      <c r="L277" t="s">
        <v>20</v>
      </c>
    </row>
    <row r="278" spans="1:12">
      <c r="A278" t="s">
        <v>931</v>
      </c>
      <c r="B278" t="s">
        <v>22</v>
      </c>
      <c r="C278" t="s">
        <v>132</v>
      </c>
      <c r="D278" t="str">
        <f>_xlfn.CONCAT(tblEmployees[[#This Row],[First_Name]]," ",tblEmployees[[#This Row],[Last_Name]])</f>
        <v>Priya Chavan</v>
      </c>
      <c r="E278" t="s">
        <v>14</v>
      </c>
      <c r="F278" t="s">
        <v>50</v>
      </c>
      <c r="G278" t="s">
        <v>109</v>
      </c>
      <c r="H278" t="s">
        <v>932</v>
      </c>
      <c r="I278" t="s">
        <v>933</v>
      </c>
      <c r="J278" s="2">
        <v>45569</v>
      </c>
      <c r="K278" t="s">
        <v>71</v>
      </c>
      <c r="L278" t="s">
        <v>20</v>
      </c>
    </row>
    <row r="279" spans="1:12">
      <c r="A279" t="s">
        <v>934</v>
      </c>
      <c r="B279" t="s">
        <v>31</v>
      </c>
      <c r="C279" t="s">
        <v>138</v>
      </c>
      <c r="D279" t="str">
        <f>_xlfn.CONCAT(tblEmployees[[#This Row],[First_Name]]," ",tblEmployees[[#This Row],[Last_Name]])</f>
        <v>Amit Ansari</v>
      </c>
      <c r="E279" t="s">
        <v>24</v>
      </c>
      <c r="F279" t="s">
        <v>59</v>
      </c>
      <c r="G279" t="s">
        <v>115</v>
      </c>
      <c r="H279" t="s">
        <v>935</v>
      </c>
      <c r="I279" t="s">
        <v>936</v>
      </c>
      <c r="J279" s="2">
        <v>45570</v>
      </c>
      <c r="K279" t="s">
        <v>79</v>
      </c>
      <c r="L279" t="s">
        <v>20</v>
      </c>
    </row>
    <row r="280" spans="1:12">
      <c r="A280" t="s">
        <v>937</v>
      </c>
      <c r="B280" t="s">
        <v>39</v>
      </c>
      <c r="C280" t="s">
        <v>144</v>
      </c>
      <c r="D280" t="str">
        <f>_xlfn.CONCAT(tblEmployees[[#This Row],[First_Name]]," ",tblEmployees[[#This Row],[Last_Name]])</f>
        <v>Sneha Rathod</v>
      </c>
      <c r="E280" t="s">
        <v>14</v>
      </c>
      <c r="F280" t="s">
        <v>67</v>
      </c>
      <c r="G280" t="s">
        <v>121</v>
      </c>
      <c r="H280" t="s">
        <v>938</v>
      </c>
      <c r="I280" t="s">
        <v>939</v>
      </c>
      <c r="J280" s="2">
        <v>45571</v>
      </c>
      <c r="K280" t="s">
        <v>86</v>
      </c>
      <c r="L280" t="s">
        <v>20</v>
      </c>
    </row>
    <row r="281" spans="1:12">
      <c r="A281" t="s">
        <v>940</v>
      </c>
      <c r="B281" t="s">
        <v>48</v>
      </c>
      <c r="C281" t="s">
        <v>150</v>
      </c>
      <c r="D281" t="str">
        <f>_xlfn.CONCAT(tblEmployees[[#This Row],[First_Name]]," ",tblEmployees[[#This Row],[Last_Name]])</f>
        <v>Rohan Pawar</v>
      </c>
      <c r="E281" t="s">
        <v>24</v>
      </c>
      <c r="F281" t="s">
        <v>75</v>
      </c>
      <c r="G281" t="s">
        <v>127</v>
      </c>
      <c r="H281" t="s">
        <v>941</v>
      </c>
      <c r="I281" t="s">
        <v>942</v>
      </c>
      <c r="J281" s="2">
        <v>45572</v>
      </c>
      <c r="K281" t="s">
        <v>93</v>
      </c>
      <c r="L281" t="s">
        <v>46</v>
      </c>
    </row>
    <row r="282" spans="1:12">
      <c r="A282" t="s">
        <v>943</v>
      </c>
      <c r="B282" t="s">
        <v>57</v>
      </c>
      <c r="C282" t="s">
        <v>13</v>
      </c>
      <c r="D282" t="str">
        <f>_xlfn.CONCAT(tblEmployees[[#This Row],[First_Name]]," ",tblEmployees[[#This Row],[Last_Name]])</f>
        <v>Pooja Sharma</v>
      </c>
      <c r="E282" t="s">
        <v>14</v>
      </c>
      <c r="F282" t="s">
        <v>15</v>
      </c>
      <c r="G282" t="s">
        <v>133</v>
      </c>
      <c r="H282" t="s">
        <v>944</v>
      </c>
      <c r="I282" t="s">
        <v>945</v>
      </c>
      <c r="J282" s="2">
        <v>45573</v>
      </c>
      <c r="K282" t="s">
        <v>19</v>
      </c>
      <c r="L282" t="s">
        <v>55</v>
      </c>
    </row>
    <row r="283" spans="1:12">
      <c r="A283" t="s">
        <v>946</v>
      </c>
      <c r="B283" t="s">
        <v>65</v>
      </c>
      <c r="C283" t="s">
        <v>23</v>
      </c>
      <c r="D283" t="str">
        <f>_xlfn.CONCAT(tblEmployees[[#This Row],[First_Name]]," ",tblEmployees[[#This Row],[Last_Name]])</f>
        <v>Arjun Patel</v>
      </c>
      <c r="E283" t="s">
        <v>24</v>
      </c>
      <c r="F283" t="s">
        <v>25</v>
      </c>
      <c r="G283" t="s">
        <v>139</v>
      </c>
      <c r="H283" t="s">
        <v>947</v>
      </c>
      <c r="I283" t="s">
        <v>948</v>
      </c>
      <c r="J283" s="2">
        <v>45574</v>
      </c>
      <c r="K283" t="s">
        <v>29</v>
      </c>
      <c r="L283" t="s">
        <v>20</v>
      </c>
    </row>
    <row r="284" spans="1:12">
      <c r="A284" t="s">
        <v>949</v>
      </c>
      <c r="B284" t="s">
        <v>73</v>
      </c>
      <c r="C284" t="s">
        <v>32</v>
      </c>
      <c r="D284" t="str">
        <f>_xlfn.CONCAT(tblEmployees[[#This Row],[First_Name]]," ",tblEmployees[[#This Row],[Last_Name]])</f>
        <v>Neha Gupta</v>
      </c>
      <c r="E284" t="s">
        <v>14</v>
      </c>
      <c r="F284" t="s">
        <v>33</v>
      </c>
      <c r="G284" t="s">
        <v>145</v>
      </c>
      <c r="H284" t="s">
        <v>950</v>
      </c>
      <c r="I284" t="s">
        <v>951</v>
      </c>
      <c r="J284" s="2">
        <v>45575</v>
      </c>
      <c r="K284" t="s">
        <v>37</v>
      </c>
      <c r="L284" t="s">
        <v>20</v>
      </c>
    </row>
    <row r="285" spans="1:12">
      <c r="A285" t="s">
        <v>952</v>
      </c>
      <c r="B285" t="s">
        <v>81</v>
      </c>
      <c r="C285" t="s">
        <v>40</v>
      </c>
      <c r="D285" t="str">
        <f>_xlfn.CONCAT(tblEmployees[[#This Row],[First_Name]]," ",tblEmployees[[#This Row],[Last_Name]])</f>
        <v>Karan Singh</v>
      </c>
      <c r="E285" t="s">
        <v>24</v>
      </c>
      <c r="F285" t="s">
        <v>41</v>
      </c>
      <c r="G285" t="s">
        <v>151</v>
      </c>
      <c r="H285" t="s">
        <v>953</v>
      </c>
      <c r="I285" t="s">
        <v>954</v>
      </c>
      <c r="J285" s="2">
        <v>45576</v>
      </c>
      <c r="K285" t="s">
        <v>45</v>
      </c>
      <c r="L285" t="s">
        <v>20</v>
      </c>
    </row>
    <row r="286" spans="1:12">
      <c r="A286" t="s">
        <v>955</v>
      </c>
      <c r="B286" t="s">
        <v>88</v>
      </c>
      <c r="C286" t="s">
        <v>49</v>
      </c>
      <c r="D286" t="str">
        <f>_xlfn.CONCAT(tblEmployees[[#This Row],[First_Name]]," ",tblEmployees[[#This Row],[Last_Name]])</f>
        <v>Anjali Verma</v>
      </c>
      <c r="E286" t="s">
        <v>14</v>
      </c>
      <c r="F286" t="s">
        <v>50</v>
      </c>
      <c r="G286" t="s">
        <v>156</v>
      </c>
      <c r="H286" t="s">
        <v>956</v>
      </c>
      <c r="I286" t="s">
        <v>957</v>
      </c>
      <c r="J286" s="2">
        <v>45577</v>
      </c>
      <c r="K286" t="s">
        <v>54</v>
      </c>
      <c r="L286" t="s">
        <v>20</v>
      </c>
    </row>
    <row r="287" spans="1:12">
      <c r="A287" t="s">
        <v>958</v>
      </c>
      <c r="B287" t="s">
        <v>95</v>
      </c>
      <c r="C287" t="s">
        <v>58</v>
      </c>
      <c r="D287" t="str">
        <f>_xlfn.CONCAT(tblEmployees[[#This Row],[First_Name]]," ",tblEmployees[[#This Row],[Last_Name]])</f>
        <v>Vikas Joshi</v>
      </c>
      <c r="E287" t="s">
        <v>24</v>
      </c>
      <c r="F287" t="s">
        <v>59</v>
      </c>
      <c r="G287" t="s">
        <v>161</v>
      </c>
      <c r="H287" t="s">
        <v>959</v>
      </c>
      <c r="I287" t="s">
        <v>960</v>
      </c>
      <c r="J287" s="2">
        <v>45578</v>
      </c>
      <c r="K287" t="s">
        <v>63</v>
      </c>
      <c r="L287" t="s">
        <v>46</v>
      </c>
    </row>
    <row r="288" spans="1:12">
      <c r="A288" t="s">
        <v>961</v>
      </c>
      <c r="B288" t="s">
        <v>101</v>
      </c>
      <c r="C288" t="s">
        <v>66</v>
      </c>
      <c r="D288" t="str">
        <f>_xlfn.CONCAT(tblEmployees[[#This Row],[First_Name]]," ",tblEmployees[[#This Row],[Last_Name]])</f>
        <v>Meera Kulkarni</v>
      </c>
      <c r="E288" t="s">
        <v>14</v>
      </c>
      <c r="F288" t="s">
        <v>67</v>
      </c>
      <c r="G288" t="s">
        <v>166</v>
      </c>
      <c r="H288" t="s">
        <v>962</v>
      </c>
      <c r="I288" t="s">
        <v>963</v>
      </c>
      <c r="J288" s="2">
        <v>45579</v>
      </c>
      <c r="K288" t="s">
        <v>71</v>
      </c>
      <c r="L288" t="s">
        <v>55</v>
      </c>
    </row>
    <row r="289" spans="1:12">
      <c r="A289" t="s">
        <v>964</v>
      </c>
      <c r="B289" t="s">
        <v>107</v>
      </c>
      <c r="C289" t="s">
        <v>74</v>
      </c>
      <c r="D289" t="str">
        <f>_xlfn.CONCAT(tblEmployees[[#This Row],[First_Name]]," ",tblEmployees[[#This Row],[Last_Name]])</f>
        <v>Sahil Shaikh</v>
      </c>
      <c r="E289" t="s">
        <v>24</v>
      </c>
      <c r="F289" t="s">
        <v>75</v>
      </c>
      <c r="G289" t="s">
        <v>171</v>
      </c>
      <c r="H289" t="s">
        <v>965</v>
      </c>
      <c r="I289" t="s">
        <v>966</v>
      </c>
      <c r="J289" s="2">
        <v>45580</v>
      </c>
      <c r="K289" t="s">
        <v>79</v>
      </c>
      <c r="L289" t="s">
        <v>20</v>
      </c>
    </row>
    <row r="290" spans="1:12">
      <c r="A290" t="s">
        <v>967</v>
      </c>
      <c r="B290" t="s">
        <v>113</v>
      </c>
      <c r="C290" t="s">
        <v>82</v>
      </c>
      <c r="D290" t="str">
        <f>_xlfn.CONCAT(tblEmployees[[#This Row],[First_Name]]," ",tblEmployees[[#This Row],[Last_Name]])</f>
        <v>Aisha Khan</v>
      </c>
      <c r="E290" t="s">
        <v>14</v>
      </c>
      <c r="F290" t="s">
        <v>15</v>
      </c>
      <c r="G290" t="s">
        <v>16</v>
      </c>
      <c r="H290" t="s">
        <v>968</v>
      </c>
      <c r="I290" t="s">
        <v>969</v>
      </c>
      <c r="J290" s="2">
        <v>45581</v>
      </c>
      <c r="K290" t="s">
        <v>86</v>
      </c>
      <c r="L290" t="s">
        <v>20</v>
      </c>
    </row>
    <row r="291" spans="1:12">
      <c r="A291" t="s">
        <v>970</v>
      </c>
      <c r="B291" t="s">
        <v>119</v>
      </c>
      <c r="C291" t="s">
        <v>89</v>
      </c>
      <c r="D291" t="str">
        <f>_xlfn.CONCAT(tblEmployees[[#This Row],[First_Name]]," ",tblEmployees[[#This Row],[Last_Name]])</f>
        <v>Riya Yadav</v>
      </c>
      <c r="E291" t="s">
        <v>24</v>
      </c>
      <c r="F291" t="s">
        <v>25</v>
      </c>
      <c r="G291" t="s">
        <v>26</v>
      </c>
      <c r="H291" t="s">
        <v>971</v>
      </c>
      <c r="I291" t="s">
        <v>972</v>
      </c>
      <c r="J291" s="2">
        <v>45582</v>
      </c>
      <c r="K291" t="s">
        <v>93</v>
      </c>
      <c r="L291" t="s">
        <v>20</v>
      </c>
    </row>
    <row r="292" spans="1:12">
      <c r="A292" t="s">
        <v>973</v>
      </c>
      <c r="B292" t="s">
        <v>125</v>
      </c>
      <c r="C292" t="s">
        <v>96</v>
      </c>
      <c r="D292" t="str">
        <f>_xlfn.CONCAT(tblEmployees[[#This Row],[First_Name]]," ",tblEmployees[[#This Row],[Last_Name]])</f>
        <v>Vivek More</v>
      </c>
      <c r="E292" t="s">
        <v>14</v>
      </c>
      <c r="F292" t="s">
        <v>33</v>
      </c>
      <c r="G292" t="s">
        <v>34</v>
      </c>
      <c r="H292" t="s">
        <v>974</v>
      </c>
      <c r="I292" t="s">
        <v>975</v>
      </c>
      <c r="J292" s="2">
        <v>45583</v>
      </c>
      <c r="K292" t="s">
        <v>19</v>
      </c>
      <c r="L292" t="s">
        <v>20</v>
      </c>
    </row>
    <row r="293" spans="1:12">
      <c r="A293" t="s">
        <v>976</v>
      </c>
      <c r="B293" t="s">
        <v>131</v>
      </c>
      <c r="C293" t="s">
        <v>102</v>
      </c>
      <c r="D293" t="str">
        <f>_xlfn.CONCAT(tblEmployees[[#This Row],[First_Name]]," ",tblEmployees[[#This Row],[Last_Name]])</f>
        <v>Aditya Jadhav</v>
      </c>
      <c r="E293" t="s">
        <v>24</v>
      </c>
      <c r="F293" t="s">
        <v>41</v>
      </c>
      <c r="G293" t="s">
        <v>42</v>
      </c>
      <c r="H293" t="s">
        <v>977</v>
      </c>
      <c r="I293" t="s">
        <v>978</v>
      </c>
      <c r="J293" s="2">
        <v>45584</v>
      </c>
      <c r="K293" t="s">
        <v>29</v>
      </c>
      <c r="L293" t="s">
        <v>46</v>
      </c>
    </row>
    <row r="294" spans="1:12">
      <c r="A294" t="s">
        <v>979</v>
      </c>
      <c r="B294" t="s">
        <v>137</v>
      </c>
      <c r="C294" t="s">
        <v>108</v>
      </c>
      <c r="D294" t="str">
        <f>_xlfn.CONCAT(tblEmployees[[#This Row],[First_Name]]," ",tblEmployees[[#This Row],[Last_Name]])</f>
        <v>Nisha Patil</v>
      </c>
      <c r="E294" t="s">
        <v>14</v>
      </c>
      <c r="F294" t="s">
        <v>50</v>
      </c>
      <c r="G294" t="s">
        <v>51</v>
      </c>
      <c r="H294" t="s">
        <v>980</v>
      </c>
      <c r="I294" t="s">
        <v>981</v>
      </c>
      <c r="J294" s="2">
        <v>45585</v>
      </c>
      <c r="K294" t="s">
        <v>37</v>
      </c>
      <c r="L294" t="s">
        <v>55</v>
      </c>
    </row>
    <row r="295" spans="1:12">
      <c r="A295" t="s">
        <v>982</v>
      </c>
      <c r="B295" t="s">
        <v>143</v>
      </c>
      <c r="C295" t="s">
        <v>114</v>
      </c>
      <c r="D295" t="str">
        <f>_xlfn.CONCAT(tblEmployees[[#This Row],[First_Name]]," ",tblEmployees[[#This Row],[Last_Name]])</f>
        <v>Deepak Deshmukh</v>
      </c>
      <c r="E295" t="s">
        <v>24</v>
      </c>
      <c r="F295" t="s">
        <v>59</v>
      </c>
      <c r="G295" t="s">
        <v>60</v>
      </c>
      <c r="H295" t="s">
        <v>983</v>
      </c>
      <c r="I295" t="s">
        <v>984</v>
      </c>
      <c r="J295" s="2">
        <v>45586</v>
      </c>
      <c r="K295" t="s">
        <v>45</v>
      </c>
      <c r="L295" t="s">
        <v>20</v>
      </c>
    </row>
    <row r="296" spans="1:12">
      <c r="A296" t="s">
        <v>985</v>
      </c>
      <c r="B296" t="s">
        <v>149</v>
      </c>
      <c r="C296" t="s">
        <v>120</v>
      </c>
      <c r="D296" t="str">
        <f>_xlfn.CONCAT(tblEmployees[[#This Row],[First_Name]]," ",tblEmployees[[#This Row],[Last_Name]])</f>
        <v>Komal Shinde</v>
      </c>
      <c r="E296" t="s">
        <v>14</v>
      </c>
      <c r="F296" t="s">
        <v>67</v>
      </c>
      <c r="G296" t="s">
        <v>68</v>
      </c>
      <c r="H296" t="s">
        <v>986</v>
      </c>
      <c r="I296" t="s">
        <v>987</v>
      </c>
      <c r="J296" s="2">
        <v>45587</v>
      </c>
      <c r="K296" t="s">
        <v>54</v>
      </c>
      <c r="L296" t="s">
        <v>20</v>
      </c>
    </row>
    <row r="297" spans="1:12">
      <c r="A297" t="s">
        <v>988</v>
      </c>
      <c r="B297" t="s">
        <v>155</v>
      </c>
      <c r="C297" t="s">
        <v>126</v>
      </c>
      <c r="D297" t="str">
        <f>_xlfn.CONCAT(tblEmployees[[#This Row],[First_Name]]," ",tblEmployees[[#This Row],[Last_Name]])</f>
        <v>Sameer Mane</v>
      </c>
      <c r="E297" t="s">
        <v>24</v>
      </c>
      <c r="F297" t="s">
        <v>75</v>
      </c>
      <c r="G297" t="s">
        <v>76</v>
      </c>
      <c r="H297" t="s">
        <v>989</v>
      </c>
      <c r="I297" t="s">
        <v>990</v>
      </c>
      <c r="J297" s="2">
        <v>45588</v>
      </c>
      <c r="K297" t="s">
        <v>63</v>
      </c>
      <c r="L297" t="s">
        <v>20</v>
      </c>
    </row>
    <row r="298" spans="1:12">
      <c r="A298" t="s">
        <v>991</v>
      </c>
      <c r="B298" t="s">
        <v>160</v>
      </c>
      <c r="C298" t="s">
        <v>132</v>
      </c>
      <c r="D298" t="str">
        <f>_xlfn.CONCAT(tblEmployees[[#This Row],[First_Name]]," ",tblEmployees[[#This Row],[Last_Name]])</f>
        <v>Farhan Chavan</v>
      </c>
      <c r="E298" t="s">
        <v>14</v>
      </c>
      <c r="F298" t="s">
        <v>15</v>
      </c>
      <c r="G298" t="s">
        <v>83</v>
      </c>
      <c r="H298" t="s">
        <v>992</v>
      </c>
      <c r="I298" t="s">
        <v>993</v>
      </c>
      <c r="J298" s="2">
        <v>45589</v>
      </c>
      <c r="K298" t="s">
        <v>71</v>
      </c>
      <c r="L298" t="s">
        <v>20</v>
      </c>
    </row>
    <row r="299" spans="1:12">
      <c r="A299" t="s">
        <v>994</v>
      </c>
      <c r="B299" t="s">
        <v>165</v>
      </c>
      <c r="C299" t="s">
        <v>138</v>
      </c>
      <c r="D299" t="str">
        <f>_xlfn.CONCAT(tblEmployees[[#This Row],[First_Name]]," ",tblEmployees[[#This Row],[Last_Name]])</f>
        <v>Isha Ansari</v>
      </c>
      <c r="E299" t="s">
        <v>24</v>
      </c>
      <c r="F299" t="s">
        <v>25</v>
      </c>
      <c r="G299" t="s">
        <v>90</v>
      </c>
      <c r="H299" t="s">
        <v>995</v>
      </c>
      <c r="I299" t="s">
        <v>996</v>
      </c>
      <c r="J299" s="2">
        <v>45590</v>
      </c>
      <c r="K299" t="s">
        <v>79</v>
      </c>
      <c r="L299" t="s">
        <v>46</v>
      </c>
    </row>
    <row r="300" spans="1:12">
      <c r="A300" t="s">
        <v>997</v>
      </c>
      <c r="B300" t="s">
        <v>170</v>
      </c>
      <c r="C300" t="s">
        <v>144</v>
      </c>
      <c r="D300" t="str">
        <f>_xlfn.CONCAT(tblEmployees[[#This Row],[First_Name]]," ",tblEmployees[[#This Row],[Last_Name]])</f>
        <v>Sonia Rathod</v>
      </c>
      <c r="E300" t="s">
        <v>14</v>
      </c>
      <c r="F300" t="s">
        <v>33</v>
      </c>
      <c r="G300" t="s">
        <v>97</v>
      </c>
      <c r="H300" t="s">
        <v>998</v>
      </c>
      <c r="I300" t="s">
        <v>999</v>
      </c>
      <c r="J300" s="2">
        <v>45591</v>
      </c>
      <c r="K300" t="s">
        <v>86</v>
      </c>
      <c r="L300" t="s">
        <v>55</v>
      </c>
    </row>
    <row r="301" spans="1:12">
      <c r="A301" t="s">
        <v>1000</v>
      </c>
      <c r="B301" t="s">
        <v>175</v>
      </c>
      <c r="C301" t="s">
        <v>150</v>
      </c>
      <c r="D301" t="str">
        <f>_xlfn.CONCAT(tblEmployees[[#This Row],[First_Name]]," ",tblEmployees[[#This Row],[Last_Name]])</f>
        <v>Akash Pawar</v>
      </c>
      <c r="E301" t="s">
        <v>24</v>
      </c>
      <c r="F301" t="s">
        <v>41</v>
      </c>
      <c r="G301" t="s">
        <v>103</v>
      </c>
      <c r="H301" t="s">
        <v>1001</v>
      </c>
      <c r="I301" t="s">
        <v>1002</v>
      </c>
      <c r="J301" s="2">
        <v>45592</v>
      </c>
      <c r="K301" t="s">
        <v>93</v>
      </c>
      <c r="L301" t="s">
        <v>20</v>
      </c>
    </row>
    <row r="302" spans="1:12">
      <c r="A302" t="s">
        <v>1003</v>
      </c>
      <c r="B302" t="s">
        <v>12</v>
      </c>
      <c r="C302" t="s">
        <v>13</v>
      </c>
      <c r="D302" t="str">
        <f>_xlfn.CONCAT(tblEmployees[[#This Row],[First_Name]]," ",tblEmployees[[#This Row],[Last_Name]])</f>
        <v>Rahul Sharma</v>
      </c>
      <c r="E302" t="s">
        <v>14</v>
      </c>
      <c r="F302" t="s">
        <v>50</v>
      </c>
      <c r="G302" t="s">
        <v>109</v>
      </c>
      <c r="H302" t="s">
        <v>1004</v>
      </c>
      <c r="I302" t="s">
        <v>1005</v>
      </c>
      <c r="J302" s="2">
        <v>45593</v>
      </c>
      <c r="K302" t="s">
        <v>19</v>
      </c>
      <c r="L302" t="s">
        <v>20</v>
      </c>
    </row>
    <row r="303" spans="1:12">
      <c r="A303" t="s">
        <v>1006</v>
      </c>
      <c r="B303" t="s">
        <v>22</v>
      </c>
      <c r="C303" t="s">
        <v>23</v>
      </c>
      <c r="D303" t="str">
        <f>_xlfn.CONCAT(tblEmployees[[#This Row],[First_Name]]," ",tblEmployees[[#This Row],[Last_Name]])</f>
        <v>Priya Patel</v>
      </c>
      <c r="E303" t="s">
        <v>24</v>
      </c>
      <c r="F303" t="s">
        <v>59</v>
      </c>
      <c r="G303" t="s">
        <v>115</v>
      </c>
      <c r="H303" t="s">
        <v>1007</v>
      </c>
      <c r="I303" t="s">
        <v>1008</v>
      </c>
      <c r="J303" s="2">
        <v>45594</v>
      </c>
      <c r="K303" t="s">
        <v>29</v>
      </c>
      <c r="L303" t="s">
        <v>20</v>
      </c>
    </row>
    <row r="304" spans="1:12">
      <c r="A304" t="s">
        <v>1009</v>
      </c>
      <c r="B304" t="s">
        <v>31</v>
      </c>
      <c r="C304" t="s">
        <v>32</v>
      </c>
      <c r="D304" t="str">
        <f>_xlfn.CONCAT(tblEmployees[[#This Row],[First_Name]]," ",tblEmployees[[#This Row],[Last_Name]])</f>
        <v>Amit Gupta</v>
      </c>
      <c r="E304" t="s">
        <v>14</v>
      </c>
      <c r="F304" t="s">
        <v>67</v>
      </c>
      <c r="G304" t="s">
        <v>121</v>
      </c>
      <c r="H304" t="s">
        <v>1010</v>
      </c>
      <c r="I304" t="s">
        <v>1011</v>
      </c>
      <c r="J304" s="2">
        <v>45595</v>
      </c>
      <c r="K304" t="s">
        <v>37</v>
      </c>
      <c r="L304" t="s">
        <v>20</v>
      </c>
    </row>
    <row r="305" spans="1:12">
      <c r="A305" t="s">
        <v>1012</v>
      </c>
      <c r="B305" t="s">
        <v>39</v>
      </c>
      <c r="C305" t="s">
        <v>40</v>
      </c>
      <c r="D305" t="str">
        <f>_xlfn.CONCAT(tblEmployees[[#This Row],[First_Name]]," ",tblEmployees[[#This Row],[Last_Name]])</f>
        <v>Sneha Singh</v>
      </c>
      <c r="E305" t="s">
        <v>24</v>
      </c>
      <c r="F305" t="s">
        <v>75</v>
      </c>
      <c r="G305" t="s">
        <v>127</v>
      </c>
      <c r="H305" t="s">
        <v>1013</v>
      </c>
      <c r="I305" t="s">
        <v>1014</v>
      </c>
      <c r="J305" s="2">
        <v>45596</v>
      </c>
      <c r="K305" t="s">
        <v>45</v>
      </c>
      <c r="L305" t="s">
        <v>46</v>
      </c>
    </row>
    <row r="306" spans="1:12">
      <c r="A306" t="s">
        <v>1015</v>
      </c>
      <c r="B306" t="s">
        <v>48</v>
      </c>
      <c r="C306" t="s">
        <v>49</v>
      </c>
      <c r="D306" t="str">
        <f>_xlfn.CONCAT(tblEmployees[[#This Row],[First_Name]]," ",tblEmployees[[#This Row],[Last_Name]])</f>
        <v>Rohan Verma</v>
      </c>
      <c r="E306" t="s">
        <v>14</v>
      </c>
      <c r="F306" t="s">
        <v>15</v>
      </c>
      <c r="G306" t="s">
        <v>133</v>
      </c>
      <c r="H306" t="s">
        <v>1016</v>
      </c>
      <c r="I306" t="s">
        <v>1017</v>
      </c>
      <c r="J306" s="2">
        <v>45597</v>
      </c>
      <c r="K306" t="s">
        <v>54</v>
      </c>
      <c r="L306" t="s">
        <v>55</v>
      </c>
    </row>
    <row r="307" spans="1:12">
      <c r="A307" t="s">
        <v>1018</v>
      </c>
      <c r="B307" t="s">
        <v>57</v>
      </c>
      <c r="C307" t="s">
        <v>58</v>
      </c>
      <c r="D307" t="str">
        <f>_xlfn.CONCAT(tblEmployees[[#This Row],[First_Name]]," ",tblEmployees[[#This Row],[Last_Name]])</f>
        <v>Pooja Joshi</v>
      </c>
      <c r="E307" t="s">
        <v>24</v>
      </c>
      <c r="F307" t="s">
        <v>25</v>
      </c>
      <c r="G307" t="s">
        <v>139</v>
      </c>
      <c r="H307" t="s">
        <v>1019</v>
      </c>
      <c r="I307" t="s">
        <v>1020</v>
      </c>
      <c r="J307" s="2">
        <v>45598</v>
      </c>
      <c r="K307" t="s">
        <v>63</v>
      </c>
      <c r="L307" t="s">
        <v>20</v>
      </c>
    </row>
    <row r="308" spans="1:12">
      <c r="A308" t="s">
        <v>1021</v>
      </c>
      <c r="B308" t="s">
        <v>65</v>
      </c>
      <c r="C308" t="s">
        <v>66</v>
      </c>
      <c r="D308" t="str">
        <f>_xlfn.CONCAT(tblEmployees[[#This Row],[First_Name]]," ",tblEmployees[[#This Row],[Last_Name]])</f>
        <v>Arjun Kulkarni</v>
      </c>
      <c r="E308" t="s">
        <v>14</v>
      </c>
      <c r="F308" t="s">
        <v>33</v>
      </c>
      <c r="G308" t="s">
        <v>145</v>
      </c>
      <c r="H308" t="s">
        <v>1022</v>
      </c>
      <c r="I308" t="s">
        <v>1023</v>
      </c>
      <c r="J308" s="2">
        <v>45599</v>
      </c>
      <c r="K308" t="s">
        <v>71</v>
      </c>
      <c r="L308" t="s">
        <v>20</v>
      </c>
    </row>
    <row r="309" spans="1:12">
      <c r="A309" t="s">
        <v>1024</v>
      </c>
      <c r="B309" t="s">
        <v>73</v>
      </c>
      <c r="C309" t="s">
        <v>74</v>
      </c>
      <c r="D309" t="str">
        <f>_xlfn.CONCAT(tblEmployees[[#This Row],[First_Name]]," ",tblEmployees[[#This Row],[Last_Name]])</f>
        <v>Neha Shaikh</v>
      </c>
      <c r="E309" t="s">
        <v>24</v>
      </c>
      <c r="F309" t="s">
        <v>41</v>
      </c>
      <c r="G309" t="s">
        <v>151</v>
      </c>
      <c r="H309" t="s">
        <v>1025</v>
      </c>
      <c r="I309" t="s">
        <v>1026</v>
      </c>
      <c r="J309" s="2">
        <v>45600</v>
      </c>
      <c r="K309" t="s">
        <v>79</v>
      </c>
      <c r="L309" t="s">
        <v>20</v>
      </c>
    </row>
    <row r="310" spans="1:12">
      <c r="A310" t="s">
        <v>1027</v>
      </c>
      <c r="B310" t="s">
        <v>81</v>
      </c>
      <c r="C310" t="s">
        <v>82</v>
      </c>
      <c r="D310" t="str">
        <f>_xlfn.CONCAT(tblEmployees[[#This Row],[First_Name]]," ",tblEmployees[[#This Row],[Last_Name]])</f>
        <v>Karan Khan</v>
      </c>
      <c r="E310" t="s">
        <v>14</v>
      </c>
      <c r="F310" t="s">
        <v>50</v>
      </c>
      <c r="G310" t="s">
        <v>156</v>
      </c>
      <c r="H310" t="s">
        <v>1028</v>
      </c>
      <c r="I310" t="s">
        <v>1029</v>
      </c>
      <c r="J310" s="2">
        <v>45601</v>
      </c>
      <c r="K310" t="s">
        <v>86</v>
      </c>
      <c r="L310" t="s">
        <v>20</v>
      </c>
    </row>
    <row r="311" spans="1:12">
      <c r="A311" t="s">
        <v>1030</v>
      </c>
      <c r="B311" t="s">
        <v>88</v>
      </c>
      <c r="C311" t="s">
        <v>89</v>
      </c>
      <c r="D311" t="str">
        <f>_xlfn.CONCAT(tblEmployees[[#This Row],[First_Name]]," ",tblEmployees[[#This Row],[Last_Name]])</f>
        <v>Anjali Yadav</v>
      </c>
      <c r="E311" t="s">
        <v>24</v>
      </c>
      <c r="F311" t="s">
        <v>59</v>
      </c>
      <c r="G311" t="s">
        <v>161</v>
      </c>
      <c r="H311" t="s">
        <v>1031</v>
      </c>
      <c r="I311" t="s">
        <v>1032</v>
      </c>
      <c r="J311" s="2">
        <v>45602</v>
      </c>
      <c r="K311" t="s">
        <v>93</v>
      </c>
      <c r="L311" t="s">
        <v>46</v>
      </c>
    </row>
    <row r="312" spans="1:12">
      <c r="A312" t="s">
        <v>1033</v>
      </c>
      <c r="B312" t="s">
        <v>95</v>
      </c>
      <c r="C312" t="s">
        <v>96</v>
      </c>
      <c r="D312" t="str">
        <f>_xlfn.CONCAT(tblEmployees[[#This Row],[First_Name]]," ",tblEmployees[[#This Row],[Last_Name]])</f>
        <v>Vikas More</v>
      </c>
      <c r="E312" t="s">
        <v>14</v>
      </c>
      <c r="F312" t="s">
        <v>67</v>
      </c>
      <c r="G312" t="s">
        <v>166</v>
      </c>
      <c r="H312" t="s">
        <v>1034</v>
      </c>
      <c r="I312" t="s">
        <v>1035</v>
      </c>
      <c r="J312" s="2">
        <v>45603</v>
      </c>
      <c r="K312" t="s">
        <v>19</v>
      </c>
      <c r="L312" t="s">
        <v>55</v>
      </c>
    </row>
    <row r="313" spans="1:12">
      <c r="A313" t="s">
        <v>1036</v>
      </c>
      <c r="B313" t="s">
        <v>101</v>
      </c>
      <c r="C313" t="s">
        <v>102</v>
      </c>
      <c r="D313" t="str">
        <f>_xlfn.CONCAT(tblEmployees[[#This Row],[First_Name]]," ",tblEmployees[[#This Row],[Last_Name]])</f>
        <v>Meera Jadhav</v>
      </c>
      <c r="E313" t="s">
        <v>24</v>
      </c>
      <c r="F313" t="s">
        <v>75</v>
      </c>
      <c r="G313" t="s">
        <v>171</v>
      </c>
      <c r="H313" t="s">
        <v>1037</v>
      </c>
      <c r="I313" t="s">
        <v>1038</v>
      </c>
      <c r="J313" s="2">
        <v>45604</v>
      </c>
      <c r="K313" t="s">
        <v>29</v>
      </c>
      <c r="L313" t="s">
        <v>20</v>
      </c>
    </row>
    <row r="314" spans="1:12">
      <c r="A314" t="s">
        <v>1039</v>
      </c>
      <c r="B314" t="s">
        <v>107</v>
      </c>
      <c r="C314" t="s">
        <v>108</v>
      </c>
      <c r="D314" t="str">
        <f>_xlfn.CONCAT(tblEmployees[[#This Row],[First_Name]]," ",tblEmployees[[#This Row],[Last_Name]])</f>
        <v>Sahil Patil</v>
      </c>
      <c r="E314" t="s">
        <v>14</v>
      </c>
      <c r="F314" t="s">
        <v>15</v>
      </c>
      <c r="G314" t="s">
        <v>16</v>
      </c>
      <c r="H314" t="s">
        <v>1040</v>
      </c>
      <c r="I314" t="s">
        <v>1041</v>
      </c>
      <c r="J314" s="2">
        <v>45605</v>
      </c>
      <c r="K314" t="s">
        <v>37</v>
      </c>
      <c r="L314" t="s">
        <v>20</v>
      </c>
    </row>
    <row r="315" spans="1:12">
      <c r="A315" t="s">
        <v>1042</v>
      </c>
      <c r="B315" t="s">
        <v>113</v>
      </c>
      <c r="C315" t="s">
        <v>114</v>
      </c>
      <c r="D315" t="str">
        <f>_xlfn.CONCAT(tblEmployees[[#This Row],[First_Name]]," ",tblEmployees[[#This Row],[Last_Name]])</f>
        <v>Aisha Deshmukh</v>
      </c>
      <c r="E315" t="s">
        <v>24</v>
      </c>
      <c r="F315" t="s">
        <v>25</v>
      </c>
      <c r="G315" t="s">
        <v>26</v>
      </c>
      <c r="H315" t="s">
        <v>1043</v>
      </c>
      <c r="I315" t="s">
        <v>1044</v>
      </c>
      <c r="J315" s="2">
        <v>45606</v>
      </c>
      <c r="K315" t="s">
        <v>45</v>
      </c>
      <c r="L315" t="s">
        <v>20</v>
      </c>
    </row>
    <row r="316" spans="1:12">
      <c r="A316" t="s">
        <v>1045</v>
      </c>
      <c r="B316" t="s">
        <v>119</v>
      </c>
      <c r="C316" t="s">
        <v>120</v>
      </c>
      <c r="D316" t="str">
        <f>_xlfn.CONCAT(tblEmployees[[#This Row],[First_Name]]," ",tblEmployees[[#This Row],[Last_Name]])</f>
        <v>Riya Shinde</v>
      </c>
      <c r="E316" t="s">
        <v>14</v>
      </c>
      <c r="F316" t="s">
        <v>33</v>
      </c>
      <c r="G316" t="s">
        <v>34</v>
      </c>
      <c r="H316" t="s">
        <v>1046</v>
      </c>
      <c r="I316" t="s">
        <v>1047</v>
      </c>
      <c r="J316" s="2">
        <v>45607</v>
      </c>
      <c r="K316" t="s">
        <v>54</v>
      </c>
      <c r="L316" t="s">
        <v>20</v>
      </c>
    </row>
    <row r="317" spans="1:12">
      <c r="A317" t="s">
        <v>1048</v>
      </c>
      <c r="B317" t="s">
        <v>125</v>
      </c>
      <c r="C317" t="s">
        <v>126</v>
      </c>
      <c r="D317" t="str">
        <f>_xlfn.CONCAT(tblEmployees[[#This Row],[First_Name]]," ",tblEmployees[[#This Row],[Last_Name]])</f>
        <v>Vivek Mane</v>
      </c>
      <c r="E317" t="s">
        <v>24</v>
      </c>
      <c r="F317" t="s">
        <v>41</v>
      </c>
      <c r="G317" t="s">
        <v>42</v>
      </c>
      <c r="H317" t="s">
        <v>1049</v>
      </c>
      <c r="I317" t="s">
        <v>1050</v>
      </c>
      <c r="J317" s="2">
        <v>45608</v>
      </c>
      <c r="K317" t="s">
        <v>63</v>
      </c>
      <c r="L317" t="s">
        <v>46</v>
      </c>
    </row>
    <row r="318" spans="1:12">
      <c r="A318" t="s">
        <v>1051</v>
      </c>
      <c r="B318" t="s">
        <v>131</v>
      </c>
      <c r="C318" t="s">
        <v>132</v>
      </c>
      <c r="D318" t="str">
        <f>_xlfn.CONCAT(tblEmployees[[#This Row],[First_Name]]," ",tblEmployees[[#This Row],[Last_Name]])</f>
        <v>Aditya Chavan</v>
      </c>
      <c r="E318" t="s">
        <v>14</v>
      </c>
      <c r="F318" t="s">
        <v>50</v>
      </c>
      <c r="G318" t="s">
        <v>51</v>
      </c>
      <c r="H318" t="s">
        <v>1052</v>
      </c>
      <c r="I318" t="s">
        <v>1053</v>
      </c>
      <c r="J318" s="2">
        <v>45609</v>
      </c>
      <c r="K318" t="s">
        <v>71</v>
      </c>
      <c r="L318" t="s">
        <v>55</v>
      </c>
    </row>
    <row r="319" spans="1:12">
      <c r="A319" t="s">
        <v>1054</v>
      </c>
      <c r="B319" t="s">
        <v>137</v>
      </c>
      <c r="C319" t="s">
        <v>138</v>
      </c>
      <c r="D319" t="str">
        <f>_xlfn.CONCAT(tblEmployees[[#This Row],[First_Name]]," ",tblEmployees[[#This Row],[Last_Name]])</f>
        <v>Nisha Ansari</v>
      </c>
      <c r="E319" t="s">
        <v>24</v>
      </c>
      <c r="F319" t="s">
        <v>59</v>
      </c>
      <c r="G319" t="s">
        <v>60</v>
      </c>
      <c r="H319" t="s">
        <v>1055</v>
      </c>
      <c r="I319" t="s">
        <v>1056</v>
      </c>
      <c r="J319" s="2">
        <v>45610</v>
      </c>
      <c r="K319" t="s">
        <v>79</v>
      </c>
      <c r="L319" t="s">
        <v>20</v>
      </c>
    </row>
    <row r="320" spans="1:12">
      <c r="A320" t="s">
        <v>1057</v>
      </c>
      <c r="B320" t="s">
        <v>143</v>
      </c>
      <c r="C320" t="s">
        <v>144</v>
      </c>
      <c r="D320" t="str">
        <f>_xlfn.CONCAT(tblEmployees[[#This Row],[First_Name]]," ",tblEmployees[[#This Row],[Last_Name]])</f>
        <v>Deepak Rathod</v>
      </c>
      <c r="E320" t="s">
        <v>14</v>
      </c>
      <c r="F320" t="s">
        <v>67</v>
      </c>
      <c r="G320" t="s">
        <v>68</v>
      </c>
      <c r="H320" t="s">
        <v>1058</v>
      </c>
      <c r="I320" t="s">
        <v>1059</v>
      </c>
      <c r="J320" s="2">
        <v>45611</v>
      </c>
      <c r="K320" t="s">
        <v>86</v>
      </c>
      <c r="L320" t="s">
        <v>20</v>
      </c>
    </row>
    <row r="321" spans="1:12">
      <c r="A321" t="s">
        <v>1060</v>
      </c>
      <c r="B321" t="s">
        <v>149</v>
      </c>
      <c r="C321" t="s">
        <v>150</v>
      </c>
      <c r="D321" t="str">
        <f>_xlfn.CONCAT(tblEmployees[[#This Row],[First_Name]]," ",tblEmployees[[#This Row],[Last_Name]])</f>
        <v>Komal Pawar</v>
      </c>
      <c r="E321" t="s">
        <v>24</v>
      </c>
      <c r="F321" t="s">
        <v>75</v>
      </c>
      <c r="G321" t="s">
        <v>76</v>
      </c>
      <c r="H321" t="s">
        <v>1061</v>
      </c>
      <c r="I321" t="s">
        <v>1062</v>
      </c>
      <c r="J321" s="2">
        <v>45612</v>
      </c>
      <c r="K321" t="s">
        <v>93</v>
      </c>
      <c r="L321" t="s">
        <v>20</v>
      </c>
    </row>
    <row r="322" spans="1:12">
      <c r="A322" t="s">
        <v>1063</v>
      </c>
      <c r="B322" t="s">
        <v>155</v>
      </c>
      <c r="C322" t="s">
        <v>13</v>
      </c>
      <c r="D322" t="str">
        <f>_xlfn.CONCAT(tblEmployees[[#This Row],[First_Name]]," ",tblEmployees[[#This Row],[Last_Name]])</f>
        <v>Sameer Sharma</v>
      </c>
      <c r="E322" t="s">
        <v>14</v>
      </c>
      <c r="F322" t="s">
        <v>15</v>
      </c>
      <c r="G322" t="s">
        <v>83</v>
      </c>
      <c r="H322" t="s">
        <v>1064</v>
      </c>
      <c r="I322" t="s">
        <v>1065</v>
      </c>
      <c r="J322" s="2">
        <v>45613</v>
      </c>
      <c r="K322" t="s">
        <v>19</v>
      </c>
      <c r="L322" t="s">
        <v>20</v>
      </c>
    </row>
    <row r="323" spans="1:12">
      <c r="A323" t="s">
        <v>1066</v>
      </c>
      <c r="B323" t="s">
        <v>160</v>
      </c>
      <c r="C323" t="s">
        <v>23</v>
      </c>
      <c r="D323" t="str">
        <f>_xlfn.CONCAT(tblEmployees[[#This Row],[First_Name]]," ",tblEmployees[[#This Row],[Last_Name]])</f>
        <v>Farhan Patel</v>
      </c>
      <c r="E323" t="s">
        <v>24</v>
      </c>
      <c r="F323" t="s">
        <v>25</v>
      </c>
      <c r="G323" t="s">
        <v>90</v>
      </c>
      <c r="H323" t="s">
        <v>1067</v>
      </c>
      <c r="I323" t="s">
        <v>1068</v>
      </c>
      <c r="J323" s="2">
        <v>45614</v>
      </c>
      <c r="K323" t="s">
        <v>29</v>
      </c>
      <c r="L323" t="s">
        <v>46</v>
      </c>
    </row>
    <row r="324" spans="1:12">
      <c r="A324" t="s">
        <v>1069</v>
      </c>
      <c r="B324" t="s">
        <v>165</v>
      </c>
      <c r="C324" t="s">
        <v>32</v>
      </c>
      <c r="D324" t="str">
        <f>_xlfn.CONCAT(tblEmployees[[#This Row],[First_Name]]," ",tblEmployees[[#This Row],[Last_Name]])</f>
        <v>Isha Gupta</v>
      </c>
      <c r="E324" t="s">
        <v>14</v>
      </c>
      <c r="F324" t="s">
        <v>33</v>
      </c>
      <c r="G324" t="s">
        <v>97</v>
      </c>
      <c r="H324" t="s">
        <v>1070</v>
      </c>
      <c r="I324" t="s">
        <v>1071</v>
      </c>
      <c r="J324" s="2">
        <v>45615</v>
      </c>
      <c r="K324" t="s">
        <v>37</v>
      </c>
      <c r="L324" t="s">
        <v>55</v>
      </c>
    </row>
    <row r="325" spans="1:12">
      <c r="A325" t="s">
        <v>1072</v>
      </c>
      <c r="B325" t="s">
        <v>170</v>
      </c>
      <c r="C325" t="s">
        <v>40</v>
      </c>
      <c r="D325" t="str">
        <f>_xlfn.CONCAT(tblEmployees[[#This Row],[First_Name]]," ",tblEmployees[[#This Row],[Last_Name]])</f>
        <v>Sonia Singh</v>
      </c>
      <c r="E325" t="s">
        <v>24</v>
      </c>
      <c r="F325" t="s">
        <v>41</v>
      </c>
      <c r="G325" t="s">
        <v>103</v>
      </c>
      <c r="H325" t="s">
        <v>1073</v>
      </c>
      <c r="I325" t="s">
        <v>1074</v>
      </c>
      <c r="J325" s="2">
        <v>45616</v>
      </c>
      <c r="K325" t="s">
        <v>45</v>
      </c>
      <c r="L325" t="s">
        <v>20</v>
      </c>
    </row>
    <row r="326" spans="1:12">
      <c r="A326" t="s">
        <v>1075</v>
      </c>
      <c r="B326" t="s">
        <v>175</v>
      </c>
      <c r="C326" t="s">
        <v>49</v>
      </c>
      <c r="D326" t="str">
        <f>_xlfn.CONCAT(tblEmployees[[#This Row],[First_Name]]," ",tblEmployees[[#This Row],[Last_Name]])</f>
        <v>Akash Verma</v>
      </c>
      <c r="E326" t="s">
        <v>14</v>
      </c>
      <c r="F326" t="s">
        <v>50</v>
      </c>
      <c r="G326" t="s">
        <v>109</v>
      </c>
      <c r="H326" t="s">
        <v>1076</v>
      </c>
      <c r="I326" t="s">
        <v>1077</v>
      </c>
      <c r="J326" s="2">
        <v>45617</v>
      </c>
      <c r="K326" t="s">
        <v>54</v>
      </c>
      <c r="L326" t="s">
        <v>20</v>
      </c>
    </row>
    <row r="327" spans="1:12">
      <c r="A327" t="s">
        <v>1078</v>
      </c>
      <c r="B327" t="s">
        <v>12</v>
      </c>
      <c r="C327" t="s">
        <v>58</v>
      </c>
      <c r="D327" t="str">
        <f>_xlfn.CONCAT(tblEmployees[[#This Row],[First_Name]]," ",tblEmployees[[#This Row],[Last_Name]])</f>
        <v>Rahul Joshi</v>
      </c>
      <c r="E327" t="s">
        <v>24</v>
      </c>
      <c r="F327" t="s">
        <v>59</v>
      </c>
      <c r="G327" t="s">
        <v>115</v>
      </c>
      <c r="H327" t="s">
        <v>1079</v>
      </c>
      <c r="I327" t="s">
        <v>1080</v>
      </c>
      <c r="J327" s="2">
        <v>45618</v>
      </c>
      <c r="K327" t="s">
        <v>63</v>
      </c>
      <c r="L327" t="s">
        <v>20</v>
      </c>
    </row>
    <row r="328" spans="1:12">
      <c r="A328" t="s">
        <v>1081</v>
      </c>
      <c r="B328" t="s">
        <v>22</v>
      </c>
      <c r="C328" t="s">
        <v>66</v>
      </c>
      <c r="D328" t="str">
        <f>_xlfn.CONCAT(tblEmployees[[#This Row],[First_Name]]," ",tblEmployees[[#This Row],[Last_Name]])</f>
        <v>Priya Kulkarni</v>
      </c>
      <c r="E328" t="s">
        <v>14</v>
      </c>
      <c r="F328" t="s">
        <v>67</v>
      </c>
      <c r="G328" t="s">
        <v>121</v>
      </c>
      <c r="H328" t="s">
        <v>1082</v>
      </c>
      <c r="I328" t="s">
        <v>1083</v>
      </c>
      <c r="J328" s="2">
        <v>45619</v>
      </c>
      <c r="K328" t="s">
        <v>71</v>
      </c>
      <c r="L328" t="s">
        <v>20</v>
      </c>
    </row>
    <row r="329" spans="1:12">
      <c r="A329" t="s">
        <v>1084</v>
      </c>
      <c r="B329" t="s">
        <v>31</v>
      </c>
      <c r="C329" t="s">
        <v>74</v>
      </c>
      <c r="D329" t="str">
        <f>_xlfn.CONCAT(tblEmployees[[#This Row],[First_Name]]," ",tblEmployees[[#This Row],[Last_Name]])</f>
        <v>Amit Shaikh</v>
      </c>
      <c r="E329" t="s">
        <v>24</v>
      </c>
      <c r="F329" t="s">
        <v>75</v>
      </c>
      <c r="G329" t="s">
        <v>127</v>
      </c>
      <c r="H329" t="s">
        <v>1085</v>
      </c>
      <c r="I329" t="s">
        <v>1086</v>
      </c>
      <c r="J329" s="2">
        <v>45620</v>
      </c>
      <c r="K329" t="s">
        <v>79</v>
      </c>
      <c r="L329" t="s">
        <v>46</v>
      </c>
    </row>
    <row r="330" spans="1:12">
      <c r="A330" t="s">
        <v>1087</v>
      </c>
      <c r="B330" t="s">
        <v>39</v>
      </c>
      <c r="C330" t="s">
        <v>82</v>
      </c>
      <c r="D330" t="str">
        <f>_xlfn.CONCAT(tblEmployees[[#This Row],[First_Name]]," ",tblEmployees[[#This Row],[Last_Name]])</f>
        <v>Sneha Khan</v>
      </c>
      <c r="E330" t="s">
        <v>14</v>
      </c>
      <c r="F330" t="s">
        <v>15</v>
      </c>
      <c r="G330" t="s">
        <v>133</v>
      </c>
      <c r="H330" t="s">
        <v>1088</v>
      </c>
      <c r="I330" t="s">
        <v>1089</v>
      </c>
      <c r="J330" s="2">
        <v>45621</v>
      </c>
      <c r="K330" t="s">
        <v>86</v>
      </c>
      <c r="L330" t="s">
        <v>55</v>
      </c>
    </row>
    <row r="331" spans="1:12">
      <c r="A331" t="s">
        <v>1090</v>
      </c>
      <c r="B331" t="s">
        <v>48</v>
      </c>
      <c r="C331" t="s">
        <v>89</v>
      </c>
      <c r="D331" t="str">
        <f>_xlfn.CONCAT(tblEmployees[[#This Row],[First_Name]]," ",tblEmployees[[#This Row],[Last_Name]])</f>
        <v>Rohan Yadav</v>
      </c>
      <c r="E331" t="s">
        <v>24</v>
      </c>
      <c r="F331" t="s">
        <v>25</v>
      </c>
      <c r="G331" t="s">
        <v>139</v>
      </c>
      <c r="H331" t="s">
        <v>1091</v>
      </c>
      <c r="I331" t="s">
        <v>1092</v>
      </c>
      <c r="J331" s="2">
        <v>45622</v>
      </c>
      <c r="K331" t="s">
        <v>93</v>
      </c>
      <c r="L331" t="s">
        <v>20</v>
      </c>
    </row>
    <row r="332" spans="1:12">
      <c r="A332" t="s">
        <v>1093</v>
      </c>
      <c r="B332" t="s">
        <v>57</v>
      </c>
      <c r="C332" t="s">
        <v>96</v>
      </c>
      <c r="D332" t="str">
        <f>_xlfn.CONCAT(tblEmployees[[#This Row],[First_Name]]," ",tblEmployees[[#This Row],[Last_Name]])</f>
        <v>Pooja More</v>
      </c>
      <c r="E332" t="s">
        <v>14</v>
      </c>
      <c r="F332" t="s">
        <v>33</v>
      </c>
      <c r="G332" t="s">
        <v>145</v>
      </c>
      <c r="H332" t="s">
        <v>1094</v>
      </c>
      <c r="I332" t="s">
        <v>1095</v>
      </c>
      <c r="J332" s="2">
        <v>45623</v>
      </c>
      <c r="K332" t="s">
        <v>19</v>
      </c>
      <c r="L332" t="s">
        <v>20</v>
      </c>
    </row>
    <row r="333" spans="1:12">
      <c r="A333" t="s">
        <v>1096</v>
      </c>
      <c r="B333" t="s">
        <v>65</v>
      </c>
      <c r="C333" t="s">
        <v>102</v>
      </c>
      <c r="D333" t="str">
        <f>_xlfn.CONCAT(tblEmployees[[#This Row],[First_Name]]," ",tblEmployees[[#This Row],[Last_Name]])</f>
        <v>Arjun Jadhav</v>
      </c>
      <c r="E333" t="s">
        <v>24</v>
      </c>
      <c r="F333" t="s">
        <v>41</v>
      </c>
      <c r="G333" t="s">
        <v>151</v>
      </c>
      <c r="H333" t="s">
        <v>1097</v>
      </c>
      <c r="I333" t="s">
        <v>1098</v>
      </c>
      <c r="J333" s="2">
        <v>45624</v>
      </c>
      <c r="K333" t="s">
        <v>29</v>
      </c>
      <c r="L333" t="s">
        <v>20</v>
      </c>
    </row>
    <row r="334" spans="1:12">
      <c r="A334" t="s">
        <v>1099</v>
      </c>
      <c r="B334" t="s">
        <v>73</v>
      </c>
      <c r="C334" t="s">
        <v>108</v>
      </c>
      <c r="D334" t="str">
        <f>_xlfn.CONCAT(tblEmployees[[#This Row],[First_Name]]," ",tblEmployees[[#This Row],[Last_Name]])</f>
        <v>Neha Patil</v>
      </c>
      <c r="E334" t="s">
        <v>14</v>
      </c>
      <c r="F334" t="s">
        <v>50</v>
      </c>
      <c r="G334" t="s">
        <v>156</v>
      </c>
      <c r="H334" t="s">
        <v>1100</v>
      </c>
      <c r="I334" t="s">
        <v>1101</v>
      </c>
      <c r="J334" s="2">
        <v>45625</v>
      </c>
      <c r="K334" t="s">
        <v>37</v>
      </c>
      <c r="L334" t="s">
        <v>20</v>
      </c>
    </row>
    <row r="335" spans="1:12">
      <c r="A335" t="s">
        <v>1102</v>
      </c>
      <c r="B335" t="s">
        <v>81</v>
      </c>
      <c r="C335" t="s">
        <v>114</v>
      </c>
      <c r="D335" t="str">
        <f>_xlfn.CONCAT(tblEmployees[[#This Row],[First_Name]]," ",tblEmployees[[#This Row],[Last_Name]])</f>
        <v>Karan Deshmukh</v>
      </c>
      <c r="E335" t="s">
        <v>24</v>
      </c>
      <c r="F335" t="s">
        <v>59</v>
      </c>
      <c r="G335" t="s">
        <v>161</v>
      </c>
      <c r="H335" t="s">
        <v>1103</v>
      </c>
      <c r="I335" t="s">
        <v>1104</v>
      </c>
      <c r="J335" s="2">
        <v>45626</v>
      </c>
      <c r="K335" t="s">
        <v>45</v>
      </c>
      <c r="L335" t="s">
        <v>46</v>
      </c>
    </row>
    <row r="336" spans="1:12">
      <c r="A336" t="s">
        <v>1105</v>
      </c>
      <c r="B336" t="s">
        <v>88</v>
      </c>
      <c r="C336" t="s">
        <v>120</v>
      </c>
      <c r="D336" t="str">
        <f>_xlfn.CONCAT(tblEmployees[[#This Row],[First_Name]]," ",tblEmployees[[#This Row],[Last_Name]])</f>
        <v>Anjali Shinde</v>
      </c>
      <c r="E336" t="s">
        <v>14</v>
      </c>
      <c r="F336" t="s">
        <v>67</v>
      </c>
      <c r="G336" t="s">
        <v>166</v>
      </c>
      <c r="H336" t="s">
        <v>1106</v>
      </c>
      <c r="I336" t="s">
        <v>1107</v>
      </c>
      <c r="J336" s="2">
        <v>45627</v>
      </c>
      <c r="K336" t="s">
        <v>54</v>
      </c>
      <c r="L336" t="s">
        <v>55</v>
      </c>
    </row>
    <row r="337" spans="1:12">
      <c r="A337" t="s">
        <v>1108</v>
      </c>
      <c r="B337" t="s">
        <v>95</v>
      </c>
      <c r="C337" t="s">
        <v>126</v>
      </c>
      <c r="D337" t="str">
        <f>_xlfn.CONCAT(tblEmployees[[#This Row],[First_Name]]," ",tblEmployees[[#This Row],[Last_Name]])</f>
        <v>Vikas Mane</v>
      </c>
      <c r="E337" t="s">
        <v>24</v>
      </c>
      <c r="F337" t="s">
        <v>75</v>
      </c>
      <c r="G337" t="s">
        <v>171</v>
      </c>
      <c r="H337" t="s">
        <v>1109</v>
      </c>
      <c r="I337" t="s">
        <v>1110</v>
      </c>
      <c r="J337" s="2">
        <v>45628</v>
      </c>
      <c r="K337" t="s">
        <v>63</v>
      </c>
      <c r="L337" t="s">
        <v>20</v>
      </c>
    </row>
    <row r="338" spans="1:12">
      <c r="A338" t="s">
        <v>1111</v>
      </c>
      <c r="B338" t="s">
        <v>101</v>
      </c>
      <c r="C338" t="s">
        <v>132</v>
      </c>
      <c r="D338" t="str">
        <f>_xlfn.CONCAT(tblEmployees[[#This Row],[First_Name]]," ",tblEmployees[[#This Row],[Last_Name]])</f>
        <v>Meera Chavan</v>
      </c>
      <c r="E338" t="s">
        <v>14</v>
      </c>
      <c r="F338" t="s">
        <v>15</v>
      </c>
      <c r="G338" t="s">
        <v>16</v>
      </c>
      <c r="H338" t="s">
        <v>1112</v>
      </c>
      <c r="I338" t="s">
        <v>1113</v>
      </c>
      <c r="J338" s="2">
        <v>45629</v>
      </c>
      <c r="K338" t="s">
        <v>71</v>
      </c>
      <c r="L338" t="s">
        <v>20</v>
      </c>
    </row>
    <row r="339" spans="1:12">
      <c r="A339" t="s">
        <v>1114</v>
      </c>
      <c r="B339" t="s">
        <v>107</v>
      </c>
      <c r="C339" t="s">
        <v>138</v>
      </c>
      <c r="D339" t="str">
        <f>_xlfn.CONCAT(tblEmployees[[#This Row],[First_Name]]," ",tblEmployees[[#This Row],[Last_Name]])</f>
        <v>Sahil Ansari</v>
      </c>
      <c r="E339" t="s">
        <v>24</v>
      </c>
      <c r="F339" t="s">
        <v>25</v>
      </c>
      <c r="G339" t="s">
        <v>26</v>
      </c>
      <c r="H339" t="s">
        <v>1115</v>
      </c>
      <c r="I339" t="s">
        <v>1116</v>
      </c>
      <c r="J339" s="2">
        <v>45630</v>
      </c>
      <c r="K339" t="s">
        <v>79</v>
      </c>
      <c r="L339" t="s">
        <v>20</v>
      </c>
    </row>
    <row r="340" spans="1:12">
      <c r="A340" t="s">
        <v>1117</v>
      </c>
      <c r="B340" t="s">
        <v>113</v>
      </c>
      <c r="C340" t="s">
        <v>144</v>
      </c>
      <c r="D340" t="str">
        <f>_xlfn.CONCAT(tblEmployees[[#This Row],[First_Name]]," ",tblEmployees[[#This Row],[Last_Name]])</f>
        <v>Aisha Rathod</v>
      </c>
      <c r="E340" t="s">
        <v>14</v>
      </c>
      <c r="F340" t="s">
        <v>33</v>
      </c>
      <c r="G340" t="s">
        <v>34</v>
      </c>
      <c r="H340" t="s">
        <v>1118</v>
      </c>
      <c r="I340" t="s">
        <v>1119</v>
      </c>
      <c r="J340" s="2">
        <v>45631</v>
      </c>
      <c r="K340" t="s">
        <v>86</v>
      </c>
      <c r="L340" t="s">
        <v>20</v>
      </c>
    </row>
    <row r="341" spans="1:12">
      <c r="A341" t="s">
        <v>1120</v>
      </c>
      <c r="B341" t="s">
        <v>119</v>
      </c>
      <c r="C341" t="s">
        <v>150</v>
      </c>
      <c r="D341" t="str">
        <f>_xlfn.CONCAT(tblEmployees[[#This Row],[First_Name]]," ",tblEmployees[[#This Row],[Last_Name]])</f>
        <v>Riya Pawar</v>
      </c>
      <c r="E341" t="s">
        <v>24</v>
      </c>
      <c r="F341" t="s">
        <v>41</v>
      </c>
      <c r="G341" t="s">
        <v>42</v>
      </c>
      <c r="H341" t="s">
        <v>1121</v>
      </c>
      <c r="I341" t="s">
        <v>1122</v>
      </c>
      <c r="J341" s="2">
        <v>45632</v>
      </c>
      <c r="K341" t="s">
        <v>93</v>
      </c>
      <c r="L341" t="s">
        <v>46</v>
      </c>
    </row>
    <row r="342" spans="1:12">
      <c r="A342" t="s">
        <v>1123</v>
      </c>
      <c r="B342" t="s">
        <v>125</v>
      </c>
      <c r="C342" t="s">
        <v>13</v>
      </c>
      <c r="D342" t="str">
        <f>_xlfn.CONCAT(tblEmployees[[#This Row],[First_Name]]," ",tblEmployees[[#This Row],[Last_Name]])</f>
        <v>Vivek Sharma</v>
      </c>
      <c r="E342" t="s">
        <v>14</v>
      </c>
      <c r="F342" t="s">
        <v>50</v>
      </c>
      <c r="G342" t="s">
        <v>51</v>
      </c>
      <c r="H342" t="s">
        <v>1124</v>
      </c>
      <c r="I342" t="s">
        <v>1125</v>
      </c>
      <c r="J342" s="2">
        <v>45633</v>
      </c>
      <c r="K342" t="s">
        <v>19</v>
      </c>
      <c r="L342" t="s">
        <v>55</v>
      </c>
    </row>
    <row r="343" spans="1:12">
      <c r="A343" t="s">
        <v>1126</v>
      </c>
      <c r="B343" t="s">
        <v>131</v>
      </c>
      <c r="C343" t="s">
        <v>23</v>
      </c>
      <c r="D343" t="str">
        <f>_xlfn.CONCAT(tblEmployees[[#This Row],[First_Name]]," ",tblEmployees[[#This Row],[Last_Name]])</f>
        <v>Aditya Patel</v>
      </c>
      <c r="E343" t="s">
        <v>24</v>
      </c>
      <c r="F343" t="s">
        <v>59</v>
      </c>
      <c r="G343" t="s">
        <v>60</v>
      </c>
      <c r="H343" t="s">
        <v>1127</v>
      </c>
      <c r="I343" t="s">
        <v>1128</v>
      </c>
      <c r="J343" s="2">
        <v>45634</v>
      </c>
      <c r="K343" t="s">
        <v>29</v>
      </c>
      <c r="L343" t="s">
        <v>20</v>
      </c>
    </row>
    <row r="344" spans="1:12">
      <c r="A344" t="s">
        <v>1129</v>
      </c>
      <c r="B344" t="s">
        <v>137</v>
      </c>
      <c r="C344" t="s">
        <v>32</v>
      </c>
      <c r="D344" t="str">
        <f>_xlfn.CONCAT(tblEmployees[[#This Row],[First_Name]]," ",tblEmployees[[#This Row],[Last_Name]])</f>
        <v>Nisha Gupta</v>
      </c>
      <c r="E344" t="s">
        <v>14</v>
      </c>
      <c r="F344" t="s">
        <v>67</v>
      </c>
      <c r="G344" t="s">
        <v>68</v>
      </c>
      <c r="H344" t="s">
        <v>1130</v>
      </c>
      <c r="I344" t="s">
        <v>1131</v>
      </c>
      <c r="J344" s="2">
        <v>45635</v>
      </c>
      <c r="K344" t="s">
        <v>37</v>
      </c>
      <c r="L344" t="s">
        <v>20</v>
      </c>
    </row>
    <row r="345" spans="1:12">
      <c r="A345" t="s">
        <v>1132</v>
      </c>
      <c r="B345" t="s">
        <v>143</v>
      </c>
      <c r="C345" t="s">
        <v>40</v>
      </c>
      <c r="D345" t="str">
        <f>_xlfn.CONCAT(tblEmployees[[#This Row],[First_Name]]," ",tblEmployees[[#This Row],[Last_Name]])</f>
        <v>Deepak Singh</v>
      </c>
      <c r="E345" t="s">
        <v>24</v>
      </c>
      <c r="F345" t="s">
        <v>75</v>
      </c>
      <c r="G345" t="s">
        <v>76</v>
      </c>
      <c r="H345" t="s">
        <v>1133</v>
      </c>
      <c r="I345" t="s">
        <v>1134</v>
      </c>
      <c r="J345" s="2">
        <v>45636</v>
      </c>
      <c r="K345" t="s">
        <v>45</v>
      </c>
      <c r="L345" t="s">
        <v>20</v>
      </c>
    </row>
    <row r="346" spans="1:12">
      <c r="A346" t="s">
        <v>1135</v>
      </c>
      <c r="B346" t="s">
        <v>149</v>
      </c>
      <c r="C346" t="s">
        <v>49</v>
      </c>
      <c r="D346" t="str">
        <f>_xlfn.CONCAT(tblEmployees[[#This Row],[First_Name]]," ",tblEmployees[[#This Row],[Last_Name]])</f>
        <v>Komal Verma</v>
      </c>
      <c r="E346" t="s">
        <v>14</v>
      </c>
      <c r="F346" t="s">
        <v>15</v>
      </c>
      <c r="G346" t="s">
        <v>83</v>
      </c>
      <c r="H346" t="s">
        <v>1136</v>
      </c>
      <c r="I346" t="s">
        <v>1137</v>
      </c>
      <c r="J346" s="2">
        <v>45637</v>
      </c>
      <c r="K346" t="s">
        <v>54</v>
      </c>
      <c r="L346" t="s">
        <v>20</v>
      </c>
    </row>
    <row r="347" spans="1:12">
      <c r="A347" t="s">
        <v>1138</v>
      </c>
      <c r="B347" t="s">
        <v>155</v>
      </c>
      <c r="C347" t="s">
        <v>58</v>
      </c>
      <c r="D347" t="str">
        <f>_xlfn.CONCAT(tblEmployees[[#This Row],[First_Name]]," ",tblEmployees[[#This Row],[Last_Name]])</f>
        <v>Sameer Joshi</v>
      </c>
      <c r="E347" t="s">
        <v>24</v>
      </c>
      <c r="F347" t="s">
        <v>25</v>
      </c>
      <c r="G347" t="s">
        <v>90</v>
      </c>
      <c r="H347" t="s">
        <v>1139</v>
      </c>
      <c r="I347" t="s">
        <v>1140</v>
      </c>
      <c r="J347" s="2">
        <v>45638</v>
      </c>
      <c r="K347" t="s">
        <v>63</v>
      </c>
      <c r="L347" t="s">
        <v>46</v>
      </c>
    </row>
    <row r="348" spans="1:12">
      <c r="A348" t="s">
        <v>1141</v>
      </c>
      <c r="B348" t="s">
        <v>160</v>
      </c>
      <c r="C348" t="s">
        <v>66</v>
      </c>
      <c r="D348" t="str">
        <f>_xlfn.CONCAT(tblEmployees[[#This Row],[First_Name]]," ",tblEmployees[[#This Row],[Last_Name]])</f>
        <v>Farhan Kulkarni</v>
      </c>
      <c r="E348" t="s">
        <v>14</v>
      </c>
      <c r="F348" t="s">
        <v>33</v>
      </c>
      <c r="G348" t="s">
        <v>97</v>
      </c>
      <c r="H348" t="s">
        <v>1142</v>
      </c>
      <c r="I348" t="s">
        <v>1143</v>
      </c>
      <c r="J348" s="2">
        <v>45639</v>
      </c>
      <c r="K348" t="s">
        <v>71</v>
      </c>
      <c r="L348" t="s">
        <v>55</v>
      </c>
    </row>
    <row r="349" spans="1:12">
      <c r="A349" t="s">
        <v>1144</v>
      </c>
      <c r="B349" t="s">
        <v>165</v>
      </c>
      <c r="C349" t="s">
        <v>74</v>
      </c>
      <c r="D349" t="str">
        <f>_xlfn.CONCAT(tblEmployees[[#This Row],[First_Name]]," ",tblEmployees[[#This Row],[Last_Name]])</f>
        <v>Isha Shaikh</v>
      </c>
      <c r="E349" t="s">
        <v>24</v>
      </c>
      <c r="F349" t="s">
        <v>41</v>
      </c>
      <c r="G349" t="s">
        <v>103</v>
      </c>
      <c r="H349" t="s">
        <v>1145</v>
      </c>
      <c r="I349" t="s">
        <v>1146</v>
      </c>
      <c r="J349" s="2">
        <v>45640</v>
      </c>
      <c r="K349" t="s">
        <v>79</v>
      </c>
      <c r="L349" t="s">
        <v>20</v>
      </c>
    </row>
    <row r="350" spans="1:12">
      <c r="A350" t="s">
        <v>1147</v>
      </c>
      <c r="B350" t="s">
        <v>170</v>
      </c>
      <c r="C350" t="s">
        <v>82</v>
      </c>
      <c r="D350" t="str">
        <f>_xlfn.CONCAT(tblEmployees[[#This Row],[First_Name]]," ",tblEmployees[[#This Row],[Last_Name]])</f>
        <v>Sonia Khan</v>
      </c>
      <c r="E350" t="s">
        <v>14</v>
      </c>
      <c r="F350" t="s">
        <v>50</v>
      </c>
      <c r="G350" t="s">
        <v>109</v>
      </c>
      <c r="H350" t="s">
        <v>1148</v>
      </c>
      <c r="I350" t="s">
        <v>1149</v>
      </c>
      <c r="J350" s="2">
        <v>45641</v>
      </c>
      <c r="K350" t="s">
        <v>86</v>
      </c>
      <c r="L350" t="s">
        <v>20</v>
      </c>
    </row>
    <row r="351" spans="1:12">
      <c r="A351" t="s">
        <v>1150</v>
      </c>
      <c r="B351" t="s">
        <v>175</v>
      </c>
      <c r="C351" t="s">
        <v>89</v>
      </c>
      <c r="D351" t="str">
        <f>_xlfn.CONCAT(tblEmployees[[#This Row],[First_Name]]," ",tblEmployees[[#This Row],[Last_Name]])</f>
        <v>Akash Yadav</v>
      </c>
      <c r="E351" t="s">
        <v>24</v>
      </c>
      <c r="F351" t="s">
        <v>59</v>
      </c>
      <c r="G351" t="s">
        <v>115</v>
      </c>
      <c r="H351" t="s">
        <v>1151</v>
      </c>
      <c r="I351" t="s">
        <v>1152</v>
      </c>
      <c r="J351" s="2">
        <v>45642</v>
      </c>
      <c r="K351" t="s">
        <v>93</v>
      </c>
      <c r="L351" t="s">
        <v>20</v>
      </c>
    </row>
    <row r="352" spans="1:12">
      <c r="A352" t="s">
        <v>1153</v>
      </c>
      <c r="B352" t="s">
        <v>12</v>
      </c>
      <c r="C352" t="s">
        <v>96</v>
      </c>
      <c r="D352" t="str">
        <f>_xlfn.CONCAT(tblEmployees[[#This Row],[First_Name]]," ",tblEmployees[[#This Row],[Last_Name]])</f>
        <v>Rahul More</v>
      </c>
      <c r="E352" t="s">
        <v>14</v>
      </c>
      <c r="F352" t="s">
        <v>67</v>
      </c>
      <c r="G352" t="s">
        <v>121</v>
      </c>
      <c r="H352" t="s">
        <v>1154</v>
      </c>
      <c r="I352" t="s">
        <v>1155</v>
      </c>
      <c r="J352" s="2">
        <v>45643</v>
      </c>
      <c r="K352" t="s">
        <v>19</v>
      </c>
      <c r="L352" t="s">
        <v>20</v>
      </c>
    </row>
    <row r="353" spans="1:12">
      <c r="A353" t="s">
        <v>1156</v>
      </c>
      <c r="B353" t="s">
        <v>22</v>
      </c>
      <c r="C353" t="s">
        <v>102</v>
      </c>
      <c r="D353" t="str">
        <f>_xlfn.CONCAT(tblEmployees[[#This Row],[First_Name]]," ",tblEmployees[[#This Row],[Last_Name]])</f>
        <v>Priya Jadhav</v>
      </c>
      <c r="E353" t="s">
        <v>24</v>
      </c>
      <c r="F353" t="s">
        <v>75</v>
      </c>
      <c r="G353" t="s">
        <v>127</v>
      </c>
      <c r="H353" t="s">
        <v>1157</v>
      </c>
      <c r="I353" t="s">
        <v>1158</v>
      </c>
      <c r="J353" s="2">
        <v>45644</v>
      </c>
      <c r="K353" t="s">
        <v>29</v>
      </c>
      <c r="L353" t="s">
        <v>46</v>
      </c>
    </row>
    <row r="354" spans="1:12">
      <c r="A354" t="s">
        <v>1159</v>
      </c>
      <c r="B354" t="s">
        <v>31</v>
      </c>
      <c r="C354" t="s">
        <v>108</v>
      </c>
      <c r="D354" t="str">
        <f>_xlfn.CONCAT(tblEmployees[[#This Row],[First_Name]]," ",tblEmployees[[#This Row],[Last_Name]])</f>
        <v>Amit Patil</v>
      </c>
      <c r="E354" t="s">
        <v>14</v>
      </c>
      <c r="F354" t="s">
        <v>15</v>
      </c>
      <c r="G354" t="s">
        <v>133</v>
      </c>
      <c r="H354" t="s">
        <v>1160</v>
      </c>
      <c r="I354" t="s">
        <v>1161</v>
      </c>
      <c r="J354" s="2">
        <v>45645</v>
      </c>
      <c r="K354" t="s">
        <v>37</v>
      </c>
      <c r="L354" t="s">
        <v>55</v>
      </c>
    </row>
    <row r="355" spans="1:12">
      <c r="A355" t="s">
        <v>1162</v>
      </c>
      <c r="B355" t="s">
        <v>39</v>
      </c>
      <c r="C355" t="s">
        <v>114</v>
      </c>
      <c r="D355" t="str">
        <f>_xlfn.CONCAT(tblEmployees[[#This Row],[First_Name]]," ",tblEmployees[[#This Row],[Last_Name]])</f>
        <v>Sneha Deshmukh</v>
      </c>
      <c r="E355" t="s">
        <v>24</v>
      </c>
      <c r="F355" t="s">
        <v>25</v>
      </c>
      <c r="G355" t="s">
        <v>139</v>
      </c>
      <c r="H355" t="s">
        <v>1163</v>
      </c>
      <c r="I355" t="s">
        <v>1164</v>
      </c>
      <c r="J355" s="2">
        <v>45646</v>
      </c>
      <c r="K355" t="s">
        <v>45</v>
      </c>
      <c r="L355" t="s">
        <v>20</v>
      </c>
    </row>
    <row r="356" spans="1:12">
      <c r="A356" t="s">
        <v>1165</v>
      </c>
      <c r="B356" t="s">
        <v>48</v>
      </c>
      <c r="C356" t="s">
        <v>120</v>
      </c>
      <c r="D356" t="str">
        <f>_xlfn.CONCAT(tblEmployees[[#This Row],[First_Name]]," ",tblEmployees[[#This Row],[Last_Name]])</f>
        <v>Rohan Shinde</v>
      </c>
      <c r="E356" t="s">
        <v>14</v>
      </c>
      <c r="F356" t="s">
        <v>33</v>
      </c>
      <c r="G356" t="s">
        <v>145</v>
      </c>
      <c r="H356" t="s">
        <v>1166</v>
      </c>
      <c r="I356" t="s">
        <v>1167</v>
      </c>
      <c r="J356" s="2">
        <v>45647</v>
      </c>
      <c r="K356" t="s">
        <v>54</v>
      </c>
      <c r="L356" t="s">
        <v>20</v>
      </c>
    </row>
    <row r="357" spans="1:12">
      <c r="A357" t="s">
        <v>1168</v>
      </c>
      <c r="B357" t="s">
        <v>57</v>
      </c>
      <c r="C357" t="s">
        <v>126</v>
      </c>
      <c r="D357" t="str">
        <f>_xlfn.CONCAT(tblEmployees[[#This Row],[First_Name]]," ",tblEmployees[[#This Row],[Last_Name]])</f>
        <v>Pooja Mane</v>
      </c>
      <c r="E357" t="s">
        <v>24</v>
      </c>
      <c r="F357" t="s">
        <v>41</v>
      </c>
      <c r="G357" t="s">
        <v>151</v>
      </c>
      <c r="H357" t="s">
        <v>1169</v>
      </c>
      <c r="I357" t="s">
        <v>1170</v>
      </c>
      <c r="J357" s="2">
        <v>45648</v>
      </c>
      <c r="K357" t="s">
        <v>63</v>
      </c>
      <c r="L357" t="s">
        <v>20</v>
      </c>
    </row>
    <row r="358" spans="1:12">
      <c r="A358" t="s">
        <v>1171</v>
      </c>
      <c r="B358" t="s">
        <v>65</v>
      </c>
      <c r="C358" t="s">
        <v>132</v>
      </c>
      <c r="D358" t="str">
        <f>_xlfn.CONCAT(tblEmployees[[#This Row],[First_Name]]," ",tblEmployees[[#This Row],[Last_Name]])</f>
        <v>Arjun Chavan</v>
      </c>
      <c r="E358" t="s">
        <v>14</v>
      </c>
      <c r="F358" t="s">
        <v>50</v>
      </c>
      <c r="G358" t="s">
        <v>156</v>
      </c>
      <c r="H358" t="s">
        <v>1172</v>
      </c>
      <c r="I358" t="s">
        <v>1173</v>
      </c>
      <c r="J358" s="2">
        <v>45649</v>
      </c>
      <c r="K358" t="s">
        <v>71</v>
      </c>
      <c r="L358" t="s">
        <v>20</v>
      </c>
    </row>
    <row r="359" spans="1:12">
      <c r="A359" t="s">
        <v>1174</v>
      </c>
      <c r="B359" t="s">
        <v>73</v>
      </c>
      <c r="C359" t="s">
        <v>138</v>
      </c>
      <c r="D359" t="str">
        <f>_xlfn.CONCAT(tblEmployees[[#This Row],[First_Name]]," ",tblEmployees[[#This Row],[Last_Name]])</f>
        <v>Neha Ansari</v>
      </c>
      <c r="E359" t="s">
        <v>24</v>
      </c>
      <c r="F359" t="s">
        <v>59</v>
      </c>
      <c r="G359" t="s">
        <v>161</v>
      </c>
      <c r="H359" t="s">
        <v>1175</v>
      </c>
      <c r="I359" t="s">
        <v>1176</v>
      </c>
      <c r="J359" s="2">
        <v>45650</v>
      </c>
      <c r="K359" t="s">
        <v>79</v>
      </c>
      <c r="L359" t="s">
        <v>46</v>
      </c>
    </row>
    <row r="360" spans="1:12">
      <c r="A360" t="s">
        <v>1177</v>
      </c>
      <c r="B360" t="s">
        <v>81</v>
      </c>
      <c r="C360" t="s">
        <v>144</v>
      </c>
      <c r="D360" t="str">
        <f>_xlfn.CONCAT(tblEmployees[[#This Row],[First_Name]]," ",tblEmployees[[#This Row],[Last_Name]])</f>
        <v>Karan Rathod</v>
      </c>
      <c r="E360" t="s">
        <v>14</v>
      </c>
      <c r="F360" t="s">
        <v>67</v>
      </c>
      <c r="G360" t="s">
        <v>166</v>
      </c>
      <c r="H360" t="s">
        <v>1178</v>
      </c>
      <c r="I360" t="s">
        <v>1179</v>
      </c>
      <c r="J360" s="2">
        <v>45651</v>
      </c>
      <c r="K360" t="s">
        <v>86</v>
      </c>
      <c r="L360" t="s">
        <v>55</v>
      </c>
    </row>
    <row r="361" spans="1:12">
      <c r="A361" t="s">
        <v>1180</v>
      </c>
      <c r="B361" t="s">
        <v>88</v>
      </c>
      <c r="C361" t="s">
        <v>150</v>
      </c>
      <c r="D361" t="str">
        <f>_xlfn.CONCAT(tblEmployees[[#This Row],[First_Name]]," ",tblEmployees[[#This Row],[Last_Name]])</f>
        <v>Anjali Pawar</v>
      </c>
      <c r="E361" t="s">
        <v>24</v>
      </c>
      <c r="F361" t="s">
        <v>75</v>
      </c>
      <c r="G361" t="s">
        <v>171</v>
      </c>
      <c r="H361" t="s">
        <v>1181</v>
      </c>
      <c r="I361" t="s">
        <v>1182</v>
      </c>
      <c r="J361" s="2">
        <v>45652</v>
      </c>
      <c r="K361" t="s">
        <v>93</v>
      </c>
      <c r="L361" t="s">
        <v>20</v>
      </c>
    </row>
    <row r="362" spans="1:12">
      <c r="A362" t="s">
        <v>1183</v>
      </c>
      <c r="B362" t="s">
        <v>95</v>
      </c>
      <c r="C362" t="s">
        <v>13</v>
      </c>
      <c r="D362" t="str">
        <f>_xlfn.CONCAT(tblEmployees[[#This Row],[First_Name]]," ",tblEmployees[[#This Row],[Last_Name]])</f>
        <v>Vikas Sharma</v>
      </c>
      <c r="E362" t="s">
        <v>14</v>
      </c>
      <c r="F362" t="s">
        <v>15</v>
      </c>
      <c r="G362" t="s">
        <v>16</v>
      </c>
      <c r="H362" t="s">
        <v>1184</v>
      </c>
      <c r="I362" t="s">
        <v>1185</v>
      </c>
      <c r="J362" s="2">
        <v>45653</v>
      </c>
      <c r="K362" t="s">
        <v>19</v>
      </c>
      <c r="L362" t="s">
        <v>20</v>
      </c>
    </row>
    <row r="363" spans="1:12">
      <c r="A363" t="s">
        <v>1186</v>
      </c>
      <c r="B363" t="s">
        <v>101</v>
      </c>
      <c r="C363" t="s">
        <v>23</v>
      </c>
      <c r="D363" t="str">
        <f>_xlfn.CONCAT(tblEmployees[[#This Row],[First_Name]]," ",tblEmployees[[#This Row],[Last_Name]])</f>
        <v>Meera Patel</v>
      </c>
      <c r="E363" t="s">
        <v>24</v>
      </c>
      <c r="F363" t="s">
        <v>25</v>
      </c>
      <c r="G363" t="s">
        <v>26</v>
      </c>
      <c r="H363" t="s">
        <v>1187</v>
      </c>
      <c r="I363" t="s">
        <v>1188</v>
      </c>
      <c r="J363" s="2">
        <v>45654</v>
      </c>
      <c r="K363" t="s">
        <v>29</v>
      </c>
      <c r="L363" t="s">
        <v>20</v>
      </c>
    </row>
    <row r="364" spans="1:12">
      <c r="A364" t="s">
        <v>1189</v>
      </c>
      <c r="B364" t="s">
        <v>107</v>
      </c>
      <c r="C364" t="s">
        <v>32</v>
      </c>
      <c r="D364" t="str">
        <f>_xlfn.CONCAT(tblEmployees[[#This Row],[First_Name]]," ",tblEmployees[[#This Row],[Last_Name]])</f>
        <v>Sahil Gupta</v>
      </c>
      <c r="E364" t="s">
        <v>14</v>
      </c>
      <c r="F364" t="s">
        <v>33</v>
      </c>
      <c r="G364" t="s">
        <v>34</v>
      </c>
      <c r="H364" t="s">
        <v>1190</v>
      </c>
      <c r="I364" t="s">
        <v>1191</v>
      </c>
      <c r="J364" s="2">
        <v>45655</v>
      </c>
      <c r="K364" t="s">
        <v>37</v>
      </c>
      <c r="L364" t="s">
        <v>20</v>
      </c>
    </row>
    <row r="365" spans="1:12">
      <c r="A365" t="s">
        <v>1192</v>
      </c>
      <c r="B365" t="s">
        <v>113</v>
      </c>
      <c r="C365" t="s">
        <v>40</v>
      </c>
      <c r="D365" t="str">
        <f>_xlfn.CONCAT(tblEmployees[[#This Row],[First_Name]]," ",tblEmployees[[#This Row],[Last_Name]])</f>
        <v>Aisha Singh</v>
      </c>
      <c r="E365" t="s">
        <v>24</v>
      </c>
      <c r="F365" t="s">
        <v>41</v>
      </c>
      <c r="G365" t="s">
        <v>42</v>
      </c>
      <c r="H365" t="s">
        <v>1193</v>
      </c>
      <c r="I365" t="s">
        <v>1194</v>
      </c>
      <c r="J365" s="2">
        <v>45656</v>
      </c>
      <c r="K365" t="s">
        <v>45</v>
      </c>
      <c r="L365" t="s">
        <v>46</v>
      </c>
    </row>
    <row r="366" spans="1:12">
      <c r="A366" t="s">
        <v>1195</v>
      </c>
      <c r="B366" t="s">
        <v>119</v>
      </c>
      <c r="C366" t="s">
        <v>49</v>
      </c>
      <c r="D366" t="str">
        <f>_xlfn.CONCAT(tblEmployees[[#This Row],[First_Name]]," ",tblEmployees[[#This Row],[Last_Name]])</f>
        <v>Riya Verma</v>
      </c>
      <c r="E366" t="s">
        <v>14</v>
      </c>
      <c r="F366" t="s">
        <v>50</v>
      </c>
      <c r="G366" t="s">
        <v>51</v>
      </c>
      <c r="H366" t="s">
        <v>1196</v>
      </c>
      <c r="I366" t="s">
        <v>1197</v>
      </c>
      <c r="J366" s="2">
        <v>45657</v>
      </c>
      <c r="K366" t="s">
        <v>54</v>
      </c>
      <c r="L366" t="s">
        <v>55</v>
      </c>
    </row>
    <row r="367" spans="1:12">
      <c r="A367" t="s">
        <v>1198</v>
      </c>
      <c r="B367" t="s">
        <v>125</v>
      </c>
      <c r="C367" t="s">
        <v>58</v>
      </c>
      <c r="D367" t="str">
        <f>_xlfn.CONCAT(tblEmployees[[#This Row],[First_Name]]," ",tblEmployees[[#This Row],[Last_Name]])</f>
        <v>Vivek Joshi</v>
      </c>
      <c r="E367" t="s">
        <v>24</v>
      </c>
      <c r="F367" t="s">
        <v>59</v>
      </c>
      <c r="G367" t="s">
        <v>60</v>
      </c>
      <c r="H367" t="s">
        <v>1199</v>
      </c>
      <c r="I367" t="s">
        <v>1200</v>
      </c>
      <c r="J367" s="2">
        <v>45658</v>
      </c>
      <c r="K367" t="s">
        <v>63</v>
      </c>
      <c r="L367" t="s">
        <v>20</v>
      </c>
    </row>
    <row r="368" spans="1:12">
      <c r="A368" t="s">
        <v>1201</v>
      </c>
      <c r="B368" t="s">
        <v>131</v>
      </c>
      <c r="C368" t="s">
        <v>66</v>
      </c>
      <c r="D368" t="str">
        <f>_xlfn.CONCAT(tblEmployees[[#This Row],[First_Name]]," ",tblEmployees[[#This Row],[Last_Name]])</f>
        <v>Aditya Kulkarni</v>
      </c>
      <c r="E368" t="s">
        <v>14</v>
      </c>
      <c r="F368" t="s">
        <v>67</v>
      </c>
      <c r="G368" t="s">
        <v>68</v>
      </c>
      <c r="H368" t="s">
        <v>1202</v>
      </c>
      <c r="I368" t="s">
        <v>1203</v>
      </c>
      <c r="J368" s="2">
        <v>45659</v>
      </c>
      <c r="K368" t="s">
        <v>71</v>
      </c>
      <c r="L368" t="s">
        <v>20</v>
      </c>
    </row>
    <row r="369" spans="1:12">
      <c r="A369" t="s">
        <v>1204</v>
      </c>
      <c r="B369" t="s">
        <v>137</v>
      </c>
      <c r="C369" t="s">
        <v>74</v>
      </c>
      <c r="D369" t="str">
        <f>_xlfn.CONCAT(tblEmployees[[#This Row],[First_Name]]," ",tblEmployees[[#This Row],[Last_Name]])</f>
        <v>Nisha Shaikh</v>
      </c>
      <c r="E369" t="s">
        <v>24</v>
      </c>
      <c r="F369" t="s">
        <v>75</v>
      </c>
      <c r="G369" t="s">
        <v>76</v>
      </c>
      <c r="H369" t="s">
        <v>1205</v>
      </c>
      <c r="I369" t="s">
        <v>1206</v>
      </c>
      <c r="J369" s="2">
        <v>45660</v>
      </c>
      <c r="K369" t="s">
        <v>79</v>
      </c>
      <c r="L369" t="s">
        <v>20</v>
      </c>
    </row>
    <row r="370" spans="1:12">
      <c r="A370" t="s">
        <v>1207</v>
      </c>
      <c r="B370" t="s">
        <v>143</v>
      </c>
      <c r="C370" t="s">
        <v>82</v>
      </c>
      <c r="D370" t="str">
        <f>_xlfn.CONCAT(tblEmployees[[#This Row],[First_Name]]," ",tblEmployees[[#This Row],[Last_Name]])</f>
        <v>Deepak Khan</v>
      </c>
      <c r="E370" t="s">
        <v>14</v>
      </c>
      <c r="F370" t="s">
        <v>15</v>
      </c>
      <c r="G370" t="s">
        <v>83</v>
      </c>
      <c r="H370" t="s">
        <v>1208</v>
      </c>
      <c r="I370" t="s">
        <v>1209</v>
      </c>
      <c r="J370" s="2">
        <v>45661</v>
      </c>
      <c r="K370" t="s">
        <v>86</v>
      </c>
      <c r="L370" t="s">
        <v>20</v>
      </c>
    </row>
    <row r="371" spans="1:12">
      <c r="A371" t="s">
        <v>1210</v>
      </c>
      <c r="B371" t="s">
        <v>149</v>
      </c>
      <c r="C371" t="s">
        <v>89</v>
      </c>
      <c r="D371" t="str">
        <f>_xlfn.CONCAT(tblEmployees[[#This Row],[First_Name]]," ",tblEmployees[[#This Row],[Last_Name]])</f>
        <v>Komal Yadav</v>
      </c>
      <c r="E371" t="s">
        <v>24</v>
      </c>
      <c r="F371" t="s">
        <v>25</v>
      </c>
      <c r="G371" t="s">
        <v>90</v>
      </c>
      <c r="H371" t="s">
        <v>1211</v>
      </c>
      <c r="I371" t="s">
        <v>1212</v>
      </c>
      <c r="J371" s="2">
        <v>45662</v>
      </c>
      <c r="K371" t="s">
        <v>93</v>
      </c>
      <c r="L371" t="s">
        <v>46</v>
      </c>
    </row>
    <row r="372" spans="1:12">
      <c r="A372" t="s">
        <v>1213</v>
      </c>
      <c r="B372" t="s">
        <v>155</v>
      </c>
      <c r="C372" t="s">
        <v>96</v>
      </c>
      <c r="D372" t="str">
        <f>_xlfn.CONCAT(tblEmployees[[#This Row],[First_Name]]," ",tblEmployees[[#This Row],[Last_Name]])</f>
        <v>Sameer More</v>
      </c>
      <c r="E372" t="s">
        <v>14</v>
      </c>
      <c r="F372" t="s">
        <v>33</v>
      </c>
      <c r="G372" t="s">
        <v>97</v>
      </c>
      <c r="H372" t="s">
        <v>1214</v>
      </c>
      <c r="I372" t="s">
        <v>1215</v>
      </c>
      <c r="J372" s="2">
        <v>45663</v>
      </c>
      <c r="K372" t="s">
        <v>19</v>
      </c>
      <c r="L372" t="s">
        <v>55</v>
      </c>
    </row>
    <row r="373" spans="1:12">
      <c r="A373" t="s">
        <v>1216</v>
      </c>
      <c r="B373" t="s">
        <v>160</v>
      </c>
      <c r="C373" t="s">
        <v>102</v>
      </c>
      <c r="D373" t="str">
        <f>_xlfn.CONCAT(tblEmployees[[#This Row],[First_Name]]," ",tblEmployees[[#This Row],[Last_Name]])</f>
        <v>Farhan Jadhav</v>
      </c>
      <c r="E373" t="s">
        <v>24</v>
      </c>
      <c r="F373" t="s">
        <v>41</v>
      </c>
      <c r="G373" t="s">
        <v>103</v>
      </c>
      <c r="H373" t="s">
        <v>1217</v>
      </c>
      <c r="I373" t="s">
        <v>1218</v>
      </c>
      <c r="J373" s="2">
        <v>45664</v>
      </c>
      <c r="K373" t="s">
        <v>29</v>
      </c>
      <c r="L373" t="s">
        <v>20</v>
      </c>
    </row>
    <row r="374" spans="1:12">
      <c r="A374" t="s">
        <v>1219</v>
      </c>
      <c r="B374" t="s">
        <v>165</v>
      </c>
      <c r="C374" t="s">
        <v>108</v>
      </c>
      <c r="D374" t="str">
        <f>_xlfn.CONCAT(tblEmployees[[#This Row],[First_Name]]," ",tblEmployees[[#This Row],[Last_Name]])</f>
        <v>Isha Patil</v>
      </c>
      <c r="E374" t="s">
        <v>14</v>
      </c>
      <c r="F374" t="s">
        <v>50</v>
      </c>
      <c r="G374" t="s">
        <v>109</v>
      </c>
      <c r="H374" t="s">
        <v>1220</v>
      </c>
      <c r="I374" t="s">
        <v>1221</v>
      </c>
      <c r="J374" s="2">
        <v>45665</v>
      </c>
      <c r="K374" t="s">
        <v>37</v>
      </c>
      <c r="L374" t="s">
        <v>20</v>
      </c>
    </row>
    <row r="375" spans="1:12">
      <c r="A375" t="s">
        <v>1222</v>
      </c>
      <c r="B375" t="s">
        <v>170</v>
      </c>
      <c r="C375" t="s">
        <v>114</v>
      </c>
      <c r="D375" t="str">
        <f>_xlfn.CONCAT(tblEmployees[[#This Row],[First_Name]]," ",tblEmployees[[#This Row],[Last_Name]])</f>
        <v>Sonia Deshmukh</v>
      </c>
      <c r="E375" t="s">
        <v>24</v>
      </c>
      <c r="F375" t="s">
        <v>59</v>
      </c>
      <c r="G375" t="s">
        <v>115</v>
      </c>
      <c r="H375" t="s">
        <v>1223</v>
      </c>
      <c r="I375" t="s">
        <v>1224</v>
      </c>
      <c r="J375" s="2">
        <v>45666</v>
      </c>
      <c r="K375" t="s">
        <v>45</v>
      </c>
      <c r="L375" t="s">
        <v>20</v>
      </c>
    </row>
    <row r="376" spans="1:12">
      <c r="A376" t="s">
        <v>1225</v>
      </c>
      <c r="B376" t="s">
        <v>175</v>
      </c>
      <c r="C376" t="s">
        <v>120</v>
      </c>
      <c r="D376" t="str">
        <f>_xlfn.CONCAT(tblEmployees[[#This Row],[First_Name]]," ",tblEmployees[[#This Row],[Last_Name]])</f>
        <v>Akash Shinde</v>
      </c>
      <c r="E376" t="s">
        <v>14</v>
      </c>
      <c r="F376" t="s">
        <v>67</v>
      </c>
      <c r="G376" t="s">
        <v>121</v>
      </c>
      <c r="H376" t="s">
        <v>1226</v>
      </c>
      <c r="I376" t="s">
        <v>1227</v>
      </c>
      <c r="J376" s="2">
        <v>45667</v>
      </c>
      <c r="K376" t="s">
        <v>54</v>
      </c>
      <c r="L376" t="s">
        <v>20</v>
      </c>
    </row>
    <row r="377" spans="1:12">
      <c r="A377" t="s">
        <v>1228</v>
      </c>
      <c r="B377" t="s">
        <v>12</v>
      </c>
      <c r="C377" t="s">
        <v>126</v>
      </c>
      <c r="D377" t="str">
        <f>_xlfn.CONCAT(tblEmployees[[#This Row],[First_Name]]," ",tblEmployees[[#This Row],[Last_Name]])</f>
        <v>Rahul Mane</v>
      </c>
      <c r="E377" t="s">
        <v>24</v>
      </c>
      <c r="F377" t="s">
        <v>75</v>
      </c>
      <c r="G377" t="s">
        <v>127</v>
      </c>
      <c r="H377" t="s">
        <v>1229</v>
      </c>
      <c r="I377" t="s">
        <v>1230</v>
      </c>
      <c r="J377" s="2">
        <v>45668</v>
      </c>
      <c r="K377" t="s">
        <v>63</v>
      </c>
      <c r="L377" t="s">
        <v>46</v>
      </c>
    </row>
    <row r="378" spans="1:12">
      <c r="A378" t="s">
        <v>1231</v>
      </c>
      <c r="B378" t="s">
        <v>22</v>
      </c>
      <c r="C378" t="s">
        <v>132</v>
      </c>
      <c r="D378" t="str">
        <f>_xlfn.CONCAT(tblEmployees[[#This Row],[First_Name]]," ",tblEmployees[[#This Row],[Last_Name]])</f>
        <v>Priya Chavan</v>
      </c>
      <c r="E378" t="s">
        <v>14</v>
      </c>
      <c r="F378" t="s">
        <v>15</v>
      </c>
      <c r="G378" t="s">
        <v>133</v>
      </c>
      <c r="H378" t="s">
        <v>1232</v>
      </c>
      <c r="I378" t="s">
        <v>1233</v>
      </c>
      <c r="J378" s="2">
        <v>45669</v>
      </c>
      <c r="K378" t="s">
        <v>71</v>
      </c>
      <c r="L378" t="s">
        <v>55</v>
      </c>
    </row>
    <row r="379" spans="1:12">
      <c r="A379" t="s">
        <v>1234</v>
      </c>
      <c r="B379" t="s">
        <v>31</v>
      </c>
      <c r="C379" t="s">
        <v>138</v>
      </c>
      <c r="D379" t="str">
        <f>_xlfn.CONCAT(tblEmployees[[#This Row],[First_Name]]," ",tblEmployees[[#This Row],[Last_Name]])</f>
        <v>Amit Ansari</v>
      </c>
      <c r="E379" t="s">
        <v>24</v>
      </c>
      <c r="F379" t="s">
        <v>25</v>
      </c>
      <c r="G379" t="s">
        <v>139</v>
      </c>
      <c r="H379" t="s">
        <v>1235</v>
      </c>
      <c r="I379" t="s">
        <v>1236</v>
      </c>
      <c r="J379" s="2">
        <v>45670</v>
      </c>
      <c r="K379" t="s">
        <v>79</v>
      </c>
      <c r="L379" t="s">
        <v>20</v>
      </c>
    </row>
    <row r="380" spans="1:12">
      <c r="A380" t="s">
        <v>1237</v>
      </c>
      <c r="B380" t="s">
        <v>39</v>
      </c>
      <c r="C380" t="s">
        <v>144</v>
      </c>
      <c r="D380" t="str">
        <f>_xlfn.CONCAT(tblEmployees[[#This Row],[First_Name]]," ",tblEmployees[[#This Row],[Last_Name]])</f>
        <v>Sneha Rathod</v>
      </c>
      <c r="E380" t="s">
        <v>14</v>
      </c>
      <c r="F380" t="s">
        <v>33</v>
      </c>
      <c r="G380" t="s">
        <v>145</v>
      </c>
      <c r="H380" t="s">
        <v>1238</v>
      </c>
      <c r="I380" t="s">
        <v>1239</v>
      </c>
      <c r="J380" s="2">
        <v>45671</v>
      </c>
      <c r="K380" t="s">
        <v>86</v>
      </c>
      <c r="L380" t="s">
        <v>20</v>
      </c>
    </row>
    <row r="381" spans="1:12">
      <c r="A381" t="s">
        <v>1240</v>
      </c>
      <c r="B381" t="s">
        <v>48</v>
      </c>
      <c r="C381" t="s">
        <v>150</v>
      </c>
      <c r="D381" t="str">
        <f>_xlfn.CONCAT(tblEmployees[[#This Row],[First_Name]]," ",tblEmployees[[#This Row],[Last_Name]])</f>
        <v>Rohan Pawar</v>
      </c>
      <c r="E381" t="s">
        <v>24</v>
      </c>
      <c r="F381" t="s">
        <v>41</v>
      </c>
      <c r="G381" t="s">
        <v>151</v>
      </c>
      <c r="H381" t="s">
        <v>1241</v>
      </c>
      <c r="I381" t="s">
        <v>1242</v>
      </c>
      <c r="J381" s="2">
        <v>45672</v>
      </c>
      <c r="K381" t="s">
        <v>93</v>
      </c>
      <c r="L381" t="s">
        <v>20</v>
      </c>
    </row>
    <row r="382" spans="1:12">
      <c r="A382" t="s">
        <v>1243</v>
      </c>
      <c r="B382" t="s">
        <v>57</v>
      </c>
      <c r="C382" t="s">
        <v>13</v>
      </c>
      <c r="D382" t="str">
        <f>_xlfn.CONCAT(tblEmployees[[#This Row],[First_Name]]," ",tblEmployees[[#This Row],[Last_Name]])</f>
        <v>Pooja Sharma</v>
      </c>
      <c r="E382" t="s">
        <v>14</v>
      </c>
      <c r="F382" t="s">
        <v>50</v>
      </c>
      <c r="G382" t="s">
        <v>156</v>
      </c>
      <c r="H382" t="s">
        <v>1244</v>
      </c>
      <c r="I382" t="s">
        <v>1245</v>
      </c>
      <c r="J382" s="2">
        <v>45673</v>
      </c>
      <c r="K382" t="s">
        <v>19</v>
      </c>
      <c r="L382" t="s">
        <v>20</v>
      </c>
    </row>
    <row r="383" spans="1:12">
      <c r="A383" t="s">
        <v>1246</v>
      </c>
      <c r="B383" t="s">
        <v>65</v>
      </c>
      <c r="C383" t="s">
        <v>23</v>
      </c>
      <c r="D383" t="str">
        <f>_xlfn.CONCAT(tblEmployees[[#This Row],[First_Name]]," ",tblEmployees[[#This Row],[Last_Name]])</f>
        <v>Arjun Patel</v>
      </c>
      <c r="E383" t="s">
        <v>24</v>
      </c>
      <c r="F383" t="s">
        <v>59</v>
      </c>
      <c r="G383" t="s">
        <v>161</v>
      </c>
      <c r="H383" t="s">
        <v>1247</v>
      </c>
      <c r="I383" t="s">
        <v>1248</v>
      </c>
      <c r="J383" s="2">
        <v>45674</v>
      </c>
      <c r="K383" t="s">
        <v>29</v>
      </c>
      <c r="L383" t="s">
        <v>46</v>
      </c>
    </row>
    <row r="384" spans="1:12">
      <c r="A384" t="s">
        <v>1249</v>
      </c>
      <c r="B384" t="s">
        <v>73</v>
      </c>
      <c r="C384" t="s">
        <v>32</v>
      </c>
      <c r="D384" t="str">
        <f>_xlfn.CONCAT(tblEmployees[[#This Row],[First_Name]]," ",tblEmployees[[#This Row],[Last_Name]])</f>
        <v>Neha Gupta</v>
      </c>
      <c r="E384" t="s">
        <v>14</v>
      </c>
      <c r="F384" t="s">
        <v>67</v>
      </c>
      <c r="G384" t="s">
        <v>166</v>
      </c>
      <c r="H384" t="s">
        <v>1250</v>
      </c>
      <c r="I384" t="s">
        <v>1251</v>
      </c>
      <c r="J384" s="2">
        <v>45675</v>
      </c>
      <c r="K384" t="s">
        <v>37</v>
      </c>
      <c r="L384" t="s">
        <v>55</v>
      </c>
    </row>
    <row r="385" spans="1:12">
      <c r="A385" t="s">
        <v>1252</v>
      </c>
      <c r="B385" t="s">
        <v>81</v>
      </c>
      <c r="C385" t="s">
        <v>40</v>
      </c>
      <c r="D385" t="str">
        <f>_xlfn.CONCAT(tblEmployees[[#This Row],[First_Name]]," ",tblEmployees[[#This Row],[Last_Name]])</f>
        <v>Karan Singh</v>
      </c>
      <c r="E385" t="s">
        <v>24</v>
      </c>
      <c r="F385" t="s">
        <v>75</v>
      </c>
      <c r="G385" t="s">
        <v>171</v>
      </c>
      <c r="H385" t="s">
        <v>1253</v>
      </c>
      <c r="I385" t="s">
        <v>1254</v>
      </c>
      <c r="J385" s="2">
        <v>45676</v>
      </c>
      <c r="K385" t="s">
        <v>45</v>
      </c>
      <c r="L385" t="s">
        <v>20</v>
      </c>
    </row>
    <row r="386" spans="1:12">
      <c r="A386" t="s">
        <v>1255</v>
      </c>
      <c r="B386" t="s">
        <v>88</v>
      </c>
      <c r="C386" t="s">
        <v>49</v>
      </c>
      <c r="D386" t="str">
        <f>_xlfn.CONCAT(tblEmployees[[#This Row],[First_Name]]," ",tblEmployees[[#This Row],[Last_Name]])</f>
        <v>Anjali Verma</v>
      </c>
      <c r="E386" t="s">
        <v>14</v>
      </c>
      <c r="F386" t="s">
        <v>15</v>
      </c>
      <c r="G386" t="s">
        <v>16</v>
      </c>
      <c r="H386" t="s">
        <v>1256</v>
      </c>
      <c r="I386" t="s">
        <v>1257</v>
      </c>
      <c r="J386" s="2">
        <v>45677</v>
      </c>
      <c r="K386" t="s">
        <v>54</v>
      </c>
      <c r="L386" t="s">
        <v>20</v>
      </c>
    </row>
    <row r="387" spans="1:12">
      <c r="A387" t="s">
        <v>1258</v>
      </c>
      <c r="B387" t="s">
        <v>95</v>
      </c>
      <c r="C387" t="s">
        <v>58</v>
      </c>
      <c r="D387" t="str">
        <f>_xlfn.CONCAT(tblEmployees[[#This Row],[First_Name]]," ",tblEmployees[[#This Row],[Last_Name]])</f>
        <v>Vikas Joshi</v>
      </c>
      <c r="E387" t="s">
        <v>24</v>
      </c>
      <c r="F387" t="s">
        <v>25</v>
      </c>
      <c r="G387" t="s">
        <v>26</v>
      </c>
      <c r="H387" t="s">
        <v>1259</v>
      </c>
      <c r="I387" t="s">
        <v>1260</v>
      </c>
      <c r="J387" s="2">
        <v>45678</v>
      </c>
      <c r="K387" t="s">
        <v>63</v>
      </c>
      <c r="L387" t="s">
        <v>20</v>
      </c>
    </row>
    <row r="388" spans="1:12">
      <c r="A388" t="s">
        <v>1261</v>
      </c>
      <c r="B388" t="s">
        <v>101</v>
      </c>
      <c r="C388" t="s">
        <v>66</v>
      </c>
      <c r="D388" t="str">
        <f>_xlfn.CONCAT(tblEmployees[[#This Row],[First_Name]]," ",tblEmployees[[#This Row],[Last_Name]])</f>
        <v>Meera Kulkarni</v>
      </c>
      <c r="E388" t="s">
        <v>14</v>
      </c>
      <c r="F388" t="s">
        <v>33</v>
      </c>
      <c r="G388" t="s">
        <v>34</v>
      </c>
      <c r="H388" t="s">
        <v>1262</v>
      </c>
      <c r="I388" t="s">
        <v>1263</v>
      </c>
      <c r="J388" s="2">
        <v>45679</v>
      </c>
      <c r="K388" t="s">
        <v>71</v>
      </c>
      <c r="L388" t="s">
        <v>20</v>
      </c>
    </row>
    <row r="389" spans="1:12">
      <c r="A389" t="s">
        <v>1264</v>
      </c>
      <c r="B389" t="s">
        <v>107</v>
      </c>
      <c r="C389" t="s">
        <v>74</v>
      </c>
      <c r="D389" t="str">
        <f>_xlfn.CONCAT(tblEmployees[[#This Row],[First_Name]]," ",tblEmployees[[#This Row],[Last_Name]])</f>
        <v>Sahil Shaikh</v>
      </c>
      <c r="E389" t="s">
        <v>24</v>
      </c>
      <c r="F389" t="s">
        <v>41</v>
      </c>
      <c r="G389" t="s">
        <v>42</v>
      </c>
      <c r="H389" t="s">
        <v>1265</v>
      </c>
      <c r="I389" t="s">
        <v>1266</v>
      </c>
      <c r="J389" s="2">
        <v>45680</v>
      </c>
      <c r="K389" t="s">
        <v>79</v>
      </c>
      <c r="L389" t="s">
        <v>46</v>
      </c>
    </row>
    <row r="390" spans="1:12">
      <c r="A390" t="s">
        <v>1267</v>
      </c>
      <c r="B390" t="s">
        <v>113</v>
      </c>
      <c r="C390" t="s">
        <v>82</v>
      </c>
      <c r="D390" t="str">
        <f>_xlfn.CONCAT(tblEmployees[[#This Row],[First_Name]]," ",tblEmployees[[#This Row],[Last_Name]])</f>
        <v>Aisha Khan</v>
      </c>
      <c r="E390" t="s">
        <v>14</v>
      </c>
      <c r="F390" t="s">
        <v>50</v>
      </c>
      <c r="G390" t="s">
        <v>51</v>
      </c>
      <c r="H390" t="s">
        <v>1268</v>
      </c>
      <c r="I390" t="s">
        <v>1269</v>
      </c>
      <c r="J390" s="2">
        <v>45681</v>
      </c>
      <c r="K390" t="s">
        <v>86</v>
      </c>
      <c r="L390" t="s">
        <v>55</v>
      </c>
    </row>
    <row r="391" spans="1:12">
      <c r="A391" t="s">
        <v>1270</v>
      </c>
      <c r="B391" t="s">
        <v>119</v>
      </c>
      <c r="C391" t="s">
        <v>89</v>
      </c>
      <c r="D391" t="str">
        <f>_xlfn.CONCAT(tblEmployees[[#This Row],[First_Name]]," ",tblEmployees[[#This Row],[Last_Name]])</f>
        <v>Riya Yadav</v>
      </c>
      <c r="E391" t="s">
        <v>24</v>
      </c>
      <c r="F391" t="s">
        <v>59</v>
      </c>
      <c r="G391" t="s">
        <v>60</v>
      </c>
      <c r="H391" t="s">
        <v>1271</v>
      </c>
      <c r="I391" t="s">
        <v>1272</v>
      </c>
      <c r="J391" s="2">
        <v>45682</v>
      </c>
      <c r="K391" t="s">
        <v>93</v>
      </c>
      <c r="L391" t="s">
        <v>20</v>
      </c>
    </row>
    <row r="392" spans="1:12">
      <c r="A392" t="s">
        <v>1273</v>
      </c>
      <c r="B392" t="s">
        <v>125</v>
      </c>
      <c r="C392" t="s">
        <v>96</v>
      </c>
      <c r="D392" t="str">
        <f>_xlfn.CONCAT(tblEmployees[[#This Row],[First_Name]]," ",tblEmployees[[#This Row],[Last_Name]])</f>
        <v>Vivek More</v>
      </c>
      <c r="E392" t="s">
        <v>14</v>
      </c>
      <c r="F392" t="s">
        <v>67</v>
      </c>
      <c r="G392" t="s">
        <v>68</v>
      </c>
      <c r="H392" t="s">
        <v>1274</v>
      </c>
      <c r="I392" t="s">
        <v>1275</v>
      </c>
      <c r="J392" s="2">
        <v>45683</v>
      </c>
      <c r="K392" t="s">
        <v>19</v>
      </c>
      <c r="L392" t="s">
        <v>20</v>
      </c>
    </row>
    <row r="393" spans="1:12">
      <c r="A393" t="s">
        <v>1276</v>
      </c>
      <c r="B393" t="s">
        <v>131</v>
      </c>
      <c r="C393" t="s">
        <v>102</v>
      </c>
      <c r="D393" t="str">
        <f>_xlfn.CONCAT(tblEmployees[[#This Row],[First_Name]]," ",tblEmployees[[#This Row],[Last_Name]])</f>
        <v>Aditya Jadhav</v>
      </c>
      <c r="E393" t="s">
        <v>24</v>
      </c>
      <c r="F393" t="s">
        <v>75</v>
      </c>
      <c r="G393" t="s">
        <v>76</v>
      </c>
      <c r="H393" t="s">
        <v>1277</v>
      </c>
      <c r="I393" t="s">
        <v>1278</v>
      </c>
      <c r="J393" s="2">
        <v>45684</v>
      </c>
      <c r="K393" t="s">
        <v>29</v>
      </c>
      <c r="L393" t="s">
        <v>20</v>
      </c>
    </row>
    <row r="394" spans="1:12">
      <c r="A394" t="s">
        <v>1279</v>
      </c>
      <c r="B394" t="s">
        <v>137</v>
      </c>
      <c r="C394" t="s">
        <v>108</v>
      </c>
      <c r="D394" t="str">
        <f>_xlfn.CONCAT(tblEmployees[[#This Row],[First_Name]]," ",tblEmployees[[#This Row],[Last_Name]])</f>
        <v>Nisha Patil</v>
      </c>
      <c r="E394" t="s">
        <v>14</v>
      </c>
      <c r="F394" t="s">
        <v>15</v>
      </c>
      <c r="G394" t="s">
        <v>83</v>
      </c>
      <c r="H394" t="s">
        <v>1280</v>
      </c>
      <c r="I394" t="s">
        <v>1281</v>
      </c>
      <c r="J394" s="2">
        <v>45685</v>
      </c>
      <c r="K394" t="s">
        <v>37</v>
      </c>
      <c r="L394" t="s">
        <v>20</v>
      </c>
    </row>
    <row r="395" spans="1:12">
      <c r="A395" t="s">
        <v>1282</v>
      </c>
      <c r="B395" t="s">
        <v>143</v>
      </c>
      <c r="C395" t="s">
        <v>114</v>
      </c>
      <c r="D395" t="str">
        <f>_xlfn.CONCAT(tblEmployees[[#This Row],[First_Name]]," ",tblEmployees[[#This Row],[Last_Name]])</f>
        <v>Deepak Deshmukh</v>
      </c>
      <c r="E395" t="s">
        <v>24</v>
      </c>
      <c r="F395" t="s">
        <v>25</v>
      </c>
      <c r="G395" t="s">
        <v>90</v>
      </c>
      <c r="H395" t="s">
        <v>1283</v>
      </c>
      <c r="I395" t="s">
        <v>1284</v>
      </c>
      <c r="J395" s="2">
        <v>45686</v>
      </c>
      <c r="K395" t="s">
        <v>45</v>
      </c>
      <c r="L395" t="s">
        <v>46</v>
      </c>
    </row>
    <row r="396" spans="1:12">
      <c r="A396" t="s">
        <v>1285</v>
      </c>
      <c r="B396" t="s">
        <v>149</v>
      </c>
      <c r="C396" t="s">
        <v>120</v>
      </c>
      <c r="D396" t="str">
        <f>_xlfn.CONCAT(tblEmployees[[#This Row],[First_Name]]," ",tblEmployees[[#This Row],[Last_Name]])</f>
        <v>Komal Shinde</v>
      </c>
      <c r="E396" t="s">
        <v>14</v>
      </c>
      <c r="F396" t="s">
        <v>33</v>
      </c>
      <c r="G396" t="s">
        <v>97</v>
      </c>
      <c r="H396" t="s">
        <v>1286</v>
      </c>
      <c r="I396" t="s">
        <v>1287</v>
      </c>
      <c r="J396" s="2">
        <v>45687</v>
      </c>
      <c r="K396" t="s">
        <v>54</v>
      </c>
      <c r="L396" t="s">
        <v>55</v>
      </c>
    </row>
    <row r="397" spans="1:12">
      <c r="A397" t="s">
        <v>1288</v>
      </c>
      <c r="B397" t="s">
        <v>155</v>
      </c>
      <c r="C397" t="s">
        <v>126</v>
      </c>
      <c r="D397" t="str">
        <f>_xlfn.CONCAT(tblEmployees[[#This Row],[First_Name]]," ",tblEmployees[[#This Row],[Last_Name]])</f>
        <v>Sameer Mane</v>
      </c>
      <c r="E397" t="s">
        <v>24</v>
      </c>
      <c r="F397" t="s">
        <v>41</v>
      </c>
      <c r="G397" t="s">
        <v>103</v>
      </c>
      <c r="H397" t="s">
        <v>1289</v>
      </c>
      <c r="I397" t="s">
        <v>1290</v>
      </c>
      <c r="J397" s="2">
        <v>45688</v>
      </c>
      <c r="K397" t="s">
        <v>63</v>
      </c>
      <c r="L397" t="s">
        <v>20</v>
      </c>
    </row>
    <row r="398" spans="1:12">
      <c r="A398" t="s">
        <v>1291</v>
      </c>
      <c r="B398" t="s">
        <v>160</v>
      </c>
      <c r="C398" t="s">
        <v>132</v>
      </c>
      <c r="D398" t="str">
        <f>_xlfn.CONCAT(tblEmployees[[#This Row],[First_Name]]," ",tblEmployees[[#This Row],[Last_Name]])</f>
        <v>Farhan Chavan</v>
      </c>
      <c r="E398" t="s">
        <v>14</v>
      </c>
      <c r="F398" t="s">
        <v>50</v>
      </c>
      <c r="G398" t="s">
        <v>109</v>
      </c>
      <c r="H398" t="s">
        <v>1292</v>
      </c>
      <c r="I398" t="s">
        <v>1293</v>
      </c>
      <c r="J398" s="2">
        <v>45689</v>
      </c>
      <c r="K398" t="s">
        <v>71</v>
      </c>
      <c r="L398" t="s">
        <v>20</v>
      </c>
    </row>
    <row r="399" spans="1:12">
      <c r="A399" t="s">
        <v>1294</v>
      </c>
      <c r="B399" t="s">
        <v>165</v>
      </c>
      <c r="C399" t="s">
        <v>138</v>
      </c>
      <c r="D399" t="str">
        <f>_xlfn.CONCAT(tblEmployees[[#This Row],[First_Name]]," ",tblEmployees[[#This Row],[Last_Name]])</f>
        <v>Isha Ansari</v>
      </c>
      <c r="E399" t="s">
        <v>24</v>
      </c>
      <c r="F399" t="s">
        <v>59</v>
      </c>
      <c r="G399" t="s">
        <v>115</v>
      </c>
      <c r="H399" t="s">
        <v>1295</v>
      </c>
      <c r="I399" t="s">
        <v>1296</v>
      </c>
      <c r="J399" s="2">
        <v>45690</v>
      </c>
      <c r="K399" t="s">
        <v>79</v>
      </c>
      <c r="L399" t="s">
        <v>20</v>
      </c>
    </row>
    <row r="400" spans="1:12">
      <c r="A400" t="s">
        <v>1297</v>
      </c>
      <c r="B400" t="s">
        <v>170</v>
      </c>
      <c r="C400" t="s">
        <v>144</v>
      </c>
      <c r="D400" t="str">
        <f>_xlfn.CONCAT(tblEmployees[[#This Row],[First_Name]]," ",tblEmployees[[#This Row],[Last_Name]])</f>
        <v>Sonia Rathod</v>
      </c>
      <c r="E400" t="s">
        <v>14</v>
      </c>
      <c r="F400" t="s">
        <v>67</v>
      </c>
      <c r="G400" t="s">
        <v>121</v>
      </c>
      <c r="H400" t="s">
        <v>1298</v>
      </c>
      <c r="I400" t="s">
        <v>1299</v>
      </c>
      <c r="J400" s="2">
        <v>45691</v>
      </c>
      <c r="K400" t="s">
        <v>86</v>
      </c>
      <c r="L400" t="s">
        <v>20</v>
      </c>
    </row>
    <row r="401" spans="1:12">
      <c r="A401" t="s">
        <v>1300</v>
      </c>
      <c r="B401" t="s">
        <v>175</v>
      </c>
      <c r="C401" t="s">
        <v>150</v>
      </c>
      <c r="D401" t="str">
        <f>_xlfn.CONCAT(tblEmployees[[#This Row],[First_Name]]," ",tblEmployees[[#This Row],[Last_Name]])</f>
        <v>Akash Pawar</v>
      </c>
      <c r="E401" t="s">
        <v>24</v>
      </c>
      <c r="F401" t="s">
        <v>75</v>
      </c>
      <c r="G401" t="s">
        <v>127</v>
      </c>
      <c r="H401" t="s">
        <v>1301</v>
      </c>
      <c r="I401" t="s">
        <v>1302</v>
      </c>
      <c r="J401" s="2">
        <v>45692</v>
      </c>
      <c r="K401" t="s">
        <v>93</v>
      </c>
      <c r="L401" t="s">
        <v>46</v>
      </c>
    </row>
    <row r="402" spans="1:12">
      <c r="A402" t="s">
        <v>1303</v>
      </c>
      <c r="B402" t="s">
        <v>12</v>
      </c>
      <c r="C402" t="s">
        <v>13</v>
      </c>
      <c r="D402" t="str">
        <f>_xlfn.CONCAT(tblEmployees[[#This Row],[First_Name]]," ",tblEmployees[[#This Row],[Last_Name]])</f>
        <v>Rahul Sharma</v>
      </c>
      <c r="E402" t="s">
        <v>14</v>
      </c>
      <c r="F402" t="s">
        <v>15</v>
      </c>
      <c r="G402" t="s">
        <v>133</v>
      </c>
      <c r="H402" t="s">
        <v>1304</v>
      </c>
      <c r="I402" t="s">
        <v>1305</v>
      </c>
      <c r="J402" s="2">
        <v>45693</v>
      </c>
      <c r="K402" t="s">
        <v>19</v>
      </c>
      <c r="L402" t="s">
        <v>55</v>
      </c>
    </row>
    <row r="403" spans="1:12">
      <c r="A403" t="s">
        <v>1306</v>
      </c>
      <c r="B403" t="s">
        <v>22</v>
      </c>
      <c r="C403" t="s">
        <v>23</v>
      </c>
      <c r="D403" t="str">
        <f>_xlfn.CONCAT(tblEmployees[[#This Row],[First_Name]]," ",tblEmployees[[#This Row],[Last_Name]])</f>
        <v>Priya Patel</v>
      </c>
      <c r="E403" t="s">
        <v>24</v>
      </c>
      <c r="F403" t="s">
        <v>25</v>
      </c>
      <c r="G403" t="s">
        <v>139</v>
      </c>
      <c r="H403" t="s">
        <v>1307</v>
      </c>
      <c r="I403" t="s">
        <v>1308</v>
      </c>
      <c r="J403" s="2">
        <v>45694</v>
      </c>
      <c r="K403" t="s">
        <v>29</v>
      </c>
      <c r="L403" t="s">
        <v>20</v>
      </c>
    </row>
    <row r="404" spans="1:12">
      <c r="A404" t="s">
        <v>1309</v>
      </c>
      <c r="B404" t="s">
        <v>31</v>
      </c>
      <c r="C404" t="s">
        <v>32</v>
      </c>
      <c r="D404" t="str">
        <f>_xlfn.CONCAT(tblEmployees[[#This Row],[First_Name]]," ",tblEmployees[[#This Row],[Last_Name]])</f>
        <v>Amit Gupta</v>
      </c>
      <c r="E404" t="s">
        <v>14</v>
      </c>
      <c r="F404" t="s">
        <v>33</v>
      </c>
      <c r="G404" t="s">
        <v>145</v>
      </c>
      <c r="H404" t="s">
        <v>1310</v>
      </c>
      <c r="I404" t="s">
        <v>1311</v>
      </c>
      <c r="J404" s="2">
        <v>45695</v>
      </c>
      <c r="K404" t="s">
        <v>37</v>
      </c>
      <c r="L404" t="s">
        <v>20</v>
      </c>
    </row>
    <row r="405" spans="1:12">
      <c r="A405" t="s">
        <v>1312</v>
      </c>
      <c r="B405" t="s">
        <v>39</v>
      </c>
      <c r="C405" t="s">
        <v>40</v>
      </c>
      <c r="D405" t="str">
        <f>_xlfn.CONCAT(tblEmployees[[#This Row],[First_Name]]," ",tblEmployees[[#This Row],[Last_Name]])</f>
        <v>Sneha Singh</v>
      </c>
      <c r="E405" t="s">
        <v>24</v>
      </c>
      <c r="F405" t="s">
        <v>41</v>
      </c>
      <c r="G405" t="s">
        <v>151</v>
      </c>
      <c r="H405" t="s">
        <v>1313</v>
      </c>
      <c r="I405" t="s">
        <v>1314</v>
      </c>
      <c r="J405" s="2">
        <v>45696</v>
      </c>
      <c r="K405" t="s">
        <v>45</v>
      </c>
      <c r="L405" t="s">
        <v>20</v>
      </c>
    </row>
    <row r="406" spans="1:12">
      <c r="A406" t="s">
        <v>1315</v>
      </c>
      <c r="B406" t="s">
        <v>48</v>
      </c>
      <c r="C406" t="s">
        <v>49</v>
      </c>
      <c r="D406" t="str">
        <f>_xlfn.CONCAT(tblEmployees[[#This Row],[First_Name]]," ",tblEmployees[[#This Row],[Last_Name]])</f>
        <v>Rohan Verma</v>
      </c>
      <c r="E406" t="s">
        <v>14</v>
      </c>
      <c r="F406" t="s">
        <v>50</v>
      </c>
      <c r="G406" t="s">
        <v>156</v>
      </c>
      <c r="H406" t="s">
        <v>1316</v>
      </c>
      <c r="I406" t="s">
        <v>1317</v>
      </c>
      <c r="J406" s="2">
        <v>45697</v>
      </c>
      <c r="K406" t="s">
        <v>54</v>
      </c>
      <c r="L406" t="s">
        <v>20</v>
      </c>
    </row>
    <row r="407" spans="1:12">
      <c r="A407" t="s">
        <v>1318</v>
      </c>
      <c r="B407" t="s">
        <v>57</v>
      </c>
      <c r="C407" t="s">
        <v>58</v>
      </c>
      <c r="D407" t="str">
        <f>_xlfn.CONCAT(tblEmployees[[#This Row],[First_Name]]," ",tblEmployees[[#This Row],[Last_Name]])</f>
        <v>Pooja Joshi</v>
      </c>
      <c r="E407" t="s">
        <v>24</v>
      </c>
      <c r="F407" t="s">
        <v>59</v>
      </c>
      <c r="G407" t="s">
        <v>161</v>
      </c>
      <c r="H407" t="s">
        <v>1319</v>
      </c>
      <c r="I407" t="s">
        <v>1320</v>
      </c>
      <c r="J407" s="2">
        <v>45698</v>
      </c>
      <c r="K407" t="s">
        <v>63</v>
      </c>
      <c r="L407" t="s">
        <v>46</v>
      </c>
    </row>
    <row r="408" spans="1:12">
      <c r="A408" t="s">
        <v>1321</v>
      </c>
      <c r="B408" t="s">
        <v>65</v>
      </c>
      <c r="C408" t="s">
        <v>66</v>
      </c>
      <c r="D408" t="str">
        <f>_xlfn.CONCAT(tblEmployees[[#This Row],[First_Name]]," ",tblEmployees[[#This Row],[Last_Name]])</f>
        <v>Arjun Kulkarni</v>
      </c>
      <c r="E408" t="s">
        <v>14</v>
      </c>
      <c r="F408" t="s">
        <v>67</v>
      </c>
      <c r="G408" t="s">
        <v>166</v>
      </c>
      <c r="H408" t="s">
        <v>1322</v>
      </c>
      <c r="I408" t="s">
        <v>1323</v>
      </c>
      <c r="J408" s="2">
        <v>45699</v>
      </c>
      <c r="K408" t="s">
        <v>71</v>
      </c>
      <c r="L408" t="s">
        <v>55</v>
      </c>
    </row>
    <row r="409" spans="1:12">
      <c r="A409" t="s">
        <v>1324</v>
      </c>
      <c r="B409" t="s">
        <v>73</v>
      </c>
      <c r="C409" t="s">
        <v>74</v>
      </c>
      <c r="D409" t="str">
        <f>_xlfn.CONCAT(tblEmployees[[#This Row],[First_Name]]," ",tblEmployees[[#This Row],[Last_Name]])</f>
        <v>Neha Shaikh</v>
      </c>
      <c r="E409" t="s">
        <v>24</v>
      </c>
      <c r="F409" t="s">
        <v>75</v>
      </c>
      <c r="G409" t="s">
        <v>171</v>
      </c>
      <c r="H409" t="s">
        <v>1325</v>
      </c>
      <c r="I409" t="s">
        <v>1326</v>
      </c>
      <c r="J409" s="2">
        <v>45700</v>
      </c>
      <c r="K409" t="s">
        <v>79</v>
      </c>
      <c r="L409" t="s">
        <v>20</v>
      </c>
    </row>
    <row r="410" spans="1:12">
      <c r="A410" t="s">
        <v>1327</v>
      </c>
      <c r="B410" t="s">
        <v>81</v>
      </c>
      <c r="C410" t="s">
        <v>82</v>
      </c>
      <c r="D410" t="str">
        <f>_xlfn.CONCAT(tblEmployees[[#This Row],[First_Name]]," ",tblEmployees[[#This Row],[Last_Name]])</f>
        <v>Karan Khan</v>
      </c>
      <c r="E410" t="s">
        <v>14</v>
      </c>
      <c r="F410" t="s">
        <v>15</v>
      </c>
      <c r="G410" t="s">
        <v>16</v>
      </c>
      <c r="H410" t="s">
        <v>1328</v>
      </c>
      <c r="I410" t="s">
        <v>1329</v>
      </c>
      <c r="J410" s="2">
        <v>45701</v>
      </c>
      <c r="K410" t="s">
        <v>86</v>
      </c>
      <c r="L410" t="s">
        <v>20</v>
      </c>
    </row>
    <row r="411" spans="1:12">
      <c r="A411" t="s">
        <v>1330</v>
      </c>
      <c r="B411" t="s">
        <v>88</v>
      </c>
      <c r="C411" t="s">
        <v>89</v>
      </c>
      <c r="D411" t="str">
        <f>_xlfn.CONCAT(tblEmployees[[#This Row],[First_Name]]," ",tblEmployees[[#This Row],[Last_Name]])</f>
        <v>Anjali Yadav</v>
      </c>
      <c r="E411" t="s">
        <v>24</v>
      </c>
      <c r="F411" t="s">
        <v>25</v>
      </c>
      <c r="G411" t="s">
        <v>26</v>
      </c>
      <c r="H411" t="s">
        <v>1331</v>
      </c>
      <c r="I411" t="s">
        <v>1332</v>
      </c>
      <c r="J411" s="2">
        <v>45702</v>
      </c>
      <c r="K411" t="s">
        <v>93</v>
      </c>
      <c r="L411" t="s">
        <v>20</v>
      </c>
    </row>
    <row r="412" spans="1:12">
      <c r="A412" t="s">
        <v>1333</v>
      </c>
      <c r="B412" t="s">
        <v>95</v>
      </c>
      <c r="C412" t="s">
        <v>96</v>
      </c>
      <c r="D412" t="str">
        <f>_xlfn.CONCAT(tblEmployees[[#This Row],[First_Name]]," ",tblEmployees[[#This Row],[Last_Name]])</f>
        <v>Vikas More</v>
      </c>
      <c r="E412" t="s">
        <v>14</v>
      </c>
      <c r="F412" t="s">
        <v>33</v>
      </c>
      <c r="G412" t="s">
        <v>34</v>
      </c>
      <c r="H412" t="s">
        <v>1334</v>
      </c>
      <c r="I412" t="s">
        <v>1335</v>
      </c>
      <c r="J412" s="2">
        <v>45703</v>
      </c>
      <c r="K412" t="s">
        <v>19</v>
      </c>
      <c r="L412" t="s">
        <v>20</v>
      </c>
    </row>
    <row r="413" spans="1:12">
      <c r="A413" t="s">
        <v>1336</v>
      </c>
      <c r="B413" t="s">
        <v>101</v>
      </c>
      <c r="C413" t="s">
        <v>102</v>
      </c>
      <c r="D413" t="str">
        <f>_xlfn.CONCAT(tblEmployees[[#This Row],[First_Name]]," ",tblEmployees[[#This Row],[Last_Name]])</f>
        <v>Meera Jadhav</v>
      </c>
      <c r="E413" t="s">
        <v>24</v>
      </c>
      <c r="F413" t="s">
        <v>41</v>
      </c>
      <c r="G413" t="s">
        <v>42</v>
      </c>
      <c r="H413" t="s">
        <v>1337</v>
      </c>
      <c r="I413" t="s">
        <v>1338</v>
      </c>
      <c r="J413" s="2">
        <v>45704</v>
      </c>
      <c r="K413" t="s">
        <v>29</v>
      </c>
      <c r="L413" t="s">
        <v>46</v>
      </c>
    </row>
    <row r="414" spans="1:12">
      <c r="A414" t="s">
        <v>1339</v>
      </c>
      <c r="B414" t="s">
        <v>107</v>
      </c>
      <c r="C414" t="s">
        <v>108</v>
      </c>
      <c r="D414" t="str">
        <f>_xlfn.CONCAT(tblEmployees[[#This Row],[First_Name]]," ",tblEmployees[[#This Row],[Last_Name]])</f>
        <v>Sahil Patil</v>
      </c>
      <c r="E414" t="s">
        <v>14</v>
      </c>
      <c r="F414" t="s">
        <v>50</v>
      </c>
      <c r="G414" t="s">
        <v>51</v>
      </c>
      <c r="H414" t="s">
        <v>1340</v>
      </c>
      <c r="I414" t="s">
        <v>1341</v>
      </c>
      <c r="J414" s="2">
        <v>45705</v>
      </c>
      <c r="K414" t="s">
        <v>37</v>
      </c>
      <c r="L414" t="s">
        <v>55</v>
      </c>
    </row>
    <row r="415" spans="1:12">
      <c r="A415" t="s">
        <v>1342</v>
      </c>
      <c r="B415" t="s">
        <v>113</v>
      </c>
      <c r="C415" t="s">
        <v>114</v>
      </c>
      <c r="D415" t="str">
        <f>_xlfn.CONCAT(tblEmployees[[#This Row],[First_Name]]," ",tblEmployees[[#This Row],[Last_Name]])</f>
        <v>Aisha Deshmukh</v>
      </c>
      <c r="E415" t="s">
        <v>24</v>
      </c>
      <c r="F415" t="s">
        <v>59</v>
      </c>
      <c r="G415" t="s">
        <v>60</v>
      </c>
      <c r="H415" t="s">
        <v>1343</v>
      </c>
      <c r="I415" t="s">
        <v>1344</v>
      </c>
      <c r="J415" s="2">
        <v>45706</v>
      </c>
      <c r="K415" t="s">
        <v>45</v>
      </c>
      <c r="L415" t="s">
        <v>20</v>
      </c>
    </row>
    <row r="416" spans="1:12">
      <c r="A416" t="s">
        <v>1345</v>
      </c>
      <c r="B416" t="s">
        <v>119</v>
      </c>
      <c r="C416" t="s">
        <v>120</v>
      </c>
      <c r="D416" t="str">
        <f>_xlfn.CONCAT(tblEmployees[[#This Row],[First_Name]]," ",tblEmployees[[#This Row],[Last_Name]])</f>
        <v>Riya Shinde</v>
      </c>
      <c r="E416" t="s">
        <v>14</v>
      </c>
      <c r="F416" t="s">
        <v>67</v>
      </c>
      <c r="G416" t="s">
        <v>68</v>
      </c>
      <c r="H416" t="s">
        <v>1346</v>
      </c>
      <c r="I416" t="s">
        <v>1347</v>
      </c>
      <c r="J416" s="2">
        <v>45707</v>
      </c>
      <c r="K416" t="s">
        <v>54</v>
      </c>
      <c r="L416" t="s">
        <v>20</v>
      </c>
    </row>
    <row r="417" spans="1:12">
      <c r="A417" t="s">
        <v>1348</v>
      </c>
      <c r="B417" t="s">
        <v>125</v>
      </c>
      <c r="C417" t="s">
        <v>126</v>
      </c>
      <c r="D417" t="str">
        <f>_xlfn.CONCAT(tblEmployees[[#This Row],[First_Name]]," ",tblEmployees[[#This Row],[Last_Name]])</f>
        <v>Vivek Mane</v>
      </c>
      <c r="E417" t="s">
        <v>24</v>
      </c>
      <c r="F417" t="s">
        <v>75</v>
      </c>
      <c r="G417" t="s">
        <v>76</v>
      </c>
      <c r="H417" t="s">
        <v>1349</v>
      </c>
      <c r="I417" t="s">
        <v>1350</v>
      </c>
      <c r="J417" s="2">
        <v>45708</v>
      </c>
      <c r="K417" t="s">
        <v>63</v>
      </c>
      <c r="L417" t="s">
        <v>20</v>
      </c>
    </row>
    <row r="418" spans="1:12">
      <c r="A418" t="s">
        <v>1351</v>
      </c>
      <c r="B418" t="s">
        <v>131</v>
      </c>
      <c r="C418" t="s">
        <v>132</v>
      </c>
      <c r="D418" t="str">
        <f>_xlfn.CONCAT(tblEmployees[[#This Row],[First_Name]]," ",tblEmployees[[#This Row],[Last_Name]])</f>
        <v>Aditya Chavan</v>
      </c>
      <c r="E418" t="s">
        <v>14</v>
      </c>
      <c r="F418" t="s">
        <v>15</v>
      </c>
      <c r="G418" t="s">
        <v>83</v>
      </c>
      <c r="H418" t="s">
        <v>1352</v>
      </c>
      <c r="I418" t="s">
        <v>1353</v>
      </c>
      <c r="J418" s="2">
        <v>45709</v>
      </c>
      <c r="K418" t="s">
        <v>71</v>
      </c>
      <c r="L418" t="s">
        <v>20</v>
      </c>
    </row>
    <row r="419" spans="1:12">
      <c r="A419" t="s">
        <v>1354</v>
      </c>
      <c r="B419" t="s">
        <v>137</v>
      </c>
      <c r="C419" t="s">
        <v>138</v>
      </c>
      <c r="D419" t="str">
        <f>_xlfn.CONCAT(tblEmployees[[#This Row],[First_Name]]," ",tblEmployees[[#This Row],[Last_Name]])</f>
        <v>Nisha Ansari</v>
      </c>
      <c r="E419" t="s">
        <v>24</v>
      </c>
      <c r="F419" t="s">
        <v>25</v>
      </c>
      <c r="G419" t="s">
        <v>90</v>
      </c>
      <c r="H419" t="s">
        <v>1355</v>
      </c>
      <c r="I419" t="s">
        <v>1356</v>
      </c>
      <c r="J419" s="2">
        <v>45710</v>
      </c>
      <c r="K419" t="s">
        <v>79</v>
      </c>
      <c r="L419" t="s">
        <v>46</v>
      </c>
    </row>
    <row r="420" spans="1:12">
      <c r="A420" t="s">
        <v>1357</v>
      </c>
      <c r="B420" t="s">
        <v>143</v>
      </c>
      <c r="C420" t="s">
        <v>144</v>
      </c>
      <c r="D420" t="str">
        <f>_xlfn.CONCAT(tblEmployees[[#This Row],[First_Name]]," ",tblEmployees[[#This Row],[Last_Name]])</f>
        <v>Deepak Rathod</v>
      </c>
      <c r="E420" t="s">
        <v>14</v>
      </c>
      <c r="F420" t="s">
        <v>33</v>
      </c>
      <c r="G420" t="s">
        <v>97</v>
      </c>
      <c r="H420" t="s">
        <v>1358</v>
      </c>
      <c r="I420" t="s">
        <v>1359</v>
      </c>
      <c r="J420" s="2">
        <v>45711</v>
      </c>
      <c r="K420" t="s">
        <v>86</v>
      </c>
      <c r="L420" t="s">
        <v>55</v>
      </c>
    </row>
    <row r="421" spans="1:12">
      <c r="A421" t="s">
        <v>1360</v>
      </c>
      <c r="B421" t="s">
        <v>149</v>
      </c>
      <c r="C421" t="s">
        <v>150</v>
      </c>
      <c r="D421" t="str">
        <f>_xlfn.CONCAT(tblEmployees[[#This Row],[First_Name]]," ",tblEmployees[[#This Row],[Last_Name]])</f>
        <v>Komal Pawar</v>
      </c>
      <c r="E421" t="s">
        <v>24</v>
      </c>
      <c r="F421" t="s">
        <v>41</v>
      </c>
      <c r="G421" t="s">
        <v>103</v>
      </c>
      <c r="H421" t="s">
        <v>1361</v>
      </c>
      <c r="I421" t="s">
        <v>1362</v>
      </c>
      <c r="J421" s="2">
        <v>45712</v>
      </c>
      <c r="K421" t="s">
        <v>93</v>
      </c>
      <c r="L421" t="s">
        <v>20</v>
      </c>
    </row>
    <row r="422" spans="1:12">
      <c r="A422" t="s">
        <v>1363</v>
      </c>
      <c r="B422" t="s">
        <v>155</v>
      </c>
      <c r="C422" t="s">
        <v>13</v>
      </c>
      <c r="D422" t="str">
        <f>_xlfn.CONCAT(tblEmployees[[#This Row],[First_Name]]," ",tblEmployees[[#This Row],[Last_Name]])</f>
        <v>Sameer Sharma</v>
      </c>
      <c r="E422" t="s">
        <v>14</v>
      </c>
      <c r="F422" t="s">
        <v>50</v>
      </c>
      <c r="G422" t="s">
        <v>109</v>
      </c>
      <c r="H422" t="s">
        <v>1364</v>
      </c>
      <c r="I422" t="s">
        <v>1365</v>
      </c>
      <c r="J422" s="2">
        <v>45713</v>
      </c>
      <c r="K422" t="s">
        <v>19</v>
      </c>
      <c r="L422" t="s">
        <v>20</v>
      </c>
    </row>
    <row r="423" spans="1:12">
      <c r="A423" t="s">
        <v>1366</v>
      </c>
      <c r="B423" t="s">
        <v>160</v>
      </c>
      <c r="C423" t="s">
        <v>23</v>
      </c>
      <c r="D423" t="str">
        <f>_xlfn.CONCAT(tblEmployees[[#This Row],[First_Name]]," ",tblEmployees[[#This Row],[Last_Name]])</f>
        <v>Farhan Patel</v>
      </c>
      <c r="E423" t="s">
        <v>24</v>
      </c>
      <c r="F423" t="s">
        <v>59</v>
      </c>
      <c r="G423" t="s">
        <v>115</v>
      </c>
      <c r="H423" t="s">
        <v>1367</v>
      </c>
      <c r="I423" t="s">
        <v>1368</v>
      </c>
      <c r="J423" s="2">
        <v>45714</v>
      </c>
      <c r="K423" t="s">
        <v>29</v>
      </c>
      <c r="L423" t="s">
        <v>20</v>
      </c>
    </row>
    <row r="424" spans="1:12">
      <c r="A424" t="s">
        <v>1369</v>
      </c>
      <c r="B424" t="s">
        <v>165</v>
      </c>
      <c r="C424" t="s">
        <v>32</v>
      </c>
      <c r="D424" t="str">
        <f>_xlfn.CONCAT(tblEmployees[[#This Row],[First_Name]]," ",tblEmployees[[#This Row],[Last_Name]])</f>
        <v>Isha Gupta</v>
      </c>
      <c r="E424" t="s">
        <v>14</v>
      </c>
      <c r="F424" t="s">
        <v>67</v>
      </c>
      <c r="G424" t="s">
        <v>121</v>
      </c>
      <c r="H424" t="s">
        <v>1370</v>
      </c>
      <c r="I424" t="s">
        <v>1371</v>
      </c>
      <c r="J424" s="2">
        <v>45715</v>
      </c>
      <c r="K424" t="s">
        <v>37</v>
      </c>
      <c r="L424" t="s">
        <v>20</v>
      </c>
    </row>
    <row r="425" spans="1:12">
      <c r="A425" t="s">
        <v>1372</v>
      </c>
      <c r="B425" t="s">
        <v>170</v>
      </c>
      <c r="C425" t="s">
        <v>40</v>
      </c>
      <c r="D425" t="str">
        <f>_xlfn.CONCAT(tblEmployees[[#This Row],[First_Name]]," ",tblEmployees[[#This Row],[Last_Name]])</f>
        <v>Sonia Singh</v>
      </c>
      <c r="E425" t="s">
        <v>24</v>
      </c>
      <c r="F425" t="s">
        <v>75</v>
      </c>
      <c r="G425" t="s">
        <v>127</v>
      </c>
      <c r="H425" t="s">
        <v>1373</v>
      </c>
      <c r="I425" t="s">
        <v>1374</v>
      </c>
      <c r="J425" s="2">
        <v>45716</v>
      </c>
      <c r="K425" t="s">
        <v>45</v>
      </c>
      <c r="L425" t="s">
        <v>46</v>
      </c>
    </row>
    <row r="426" spans="1:12">
      <c r="A426" t="s">
        <v>1375</v>
      </c>
      <c r="B426" t="s">
        <v>175</v>
      </c>
      <c r="C426" t="s">
        <v>49</v>
      </c>
      <c r="D426" t="str">
        <f>_xlfn.CONCAT(tblEmployees[[#This Row],[First_Name]]," ",tblEmployees[[#This Row],[Last_Name]])</f>
        <v>Akash Verma</v>
      </c>
      <c r="E426" t="s">
        <v>14</v>
      </c>
      <c r="F426" t="s">
        <v>15</v>
      </c>
      <c r="G426" t="s">
        <v>133</v>
      </c>
      <c r="H426" t="s">
        <v>1376</v>
      </c>
      <c r="I426" t="s">
        <v>1377</v>
      </c>
      <c r="J426" s="2">
        <v>45717</v>
      </c>
      <c r="K426" t="s">
        <v>54</v>
      </c>
      <c r="L426" t="s">
        <v>55</v>
      </c>
    </row>
    <row r="427" spans="1:12">
      <c r="A427" t="s">
        <v>1378</v>
      </c>
      <c r="B427" t="s">
        <v>12</v>
      </c>
      <c r="C427" t="s">
        <v>58</v>
      </c>
      <c r="D427" t="str">
        <f>_xlfn.CONCAT(tblEmployees[[#This Row],[First_Name]]," ",tblEmployees[[#This Row],[Last_Name]])</f>
        <v>Rahul Joshi</v>
      </c>
      <c r="E427" t="s">
        <v>24</v>
      </c>
      <c r="F427" t="s">
        <v>25</v>
      </c>
      <c r="G427" t="s">
        <v>139</v>
      </c>
      <c r="H427" t="s">
        <v>1379</v>
      </c>
      <c r="I427" t="s">
        <v>1380</v>
      </c>
      <c r="J427" s="2">
        <v>45718</v>
      </c>
      <c r="K427" t="s">
        <v>63</v>
      </c>
      <c r="L427" t="s">
        <v>20</v>
      </c>
    </row>
    <row r="428" spans="1:12">
      <c r="A428" t="s">
        <v>1381</v>
      </c>
      <c r="B428" t="s">
        <v>22</v>
      </c>
      <c r="C428" t="s">
        <v>66</v>
      </c>
      <c r="D428" t="str">
        <f>_xlfn.CONCAT(tblEmployees[[#This Row],[First_Name]]," ",tblEmployees[[#This Row],[Last_Name]])</f>
        <v>Priya Kulkarni</v>
      </c>
      <c r="E428" t="s">
        <v>14</v>
      </c>
      <c r="F428" t="s">
        <v>33</v>
      </c>
      <c r="G428" t="s">
        <v>145</v>
      </c>
      <c r="H428" t="s">
        <v>1382</v>
      </c>
      <c r="I428" t="s">
        <v>1383</v>
      </c>
      <c r="J428" s="2">
        <v>45719</v>
      </c>
      <c r="K428" t="s">
        <v>71</v>
      </c>
      <c r="L428" t="s">
        <v>20</v>
      </c>
    </row>
    <row r="429" spans="1:12">
      <c r="A429" t="s">
        <v>1384</v>
      </c>
      <c r="B429" t="s">
        <v>31</v>
      </c>
      <c r="C429" t="s">
        <v>74</v>
      </c>
      <c r="D429" t="str">
        <f>_xlfn.CONCAT(tblEmployees[[#This Row],[First_Name]]," ",tblEmployees[[#This Row],[Last_Name]])</f>
        <v>Amit Shaikh</v>
      </c>
      <c r="E429" t="s">
        <v>24</v>
      </c>
      <c r="F429" t="s">
        <v>41</v>
      </c>
      <c r="G429" t="s">
        <v>151</v>
      </c>
      <c r="H429" t="s">
        <v>1385</v>
      </c>
      <c r="I429" t="s">
        <v>1386</v>
      </c>
      <c r="J429" s="2">
        <v>45720</v>
      </c>
      <c r="K429" t="s">
        <v>79</v>
      </c>
      <c r="L429" t="s">
        <v>20</v>
      </c>
    </row>
    <row r="430" spans="1:12">
      <c r="A430" t="s">
        <v>1387</v>
      </c>
      <c r="B430" t="s">
        <v>39</v>
      </c>
      <c r="C430" t="s">
        <v>82</v>
      </c>
      <c r="D430" t="str">
        <f>_xlfn.CONCAT(tblEmployees[[#This Row],[First_Name]]," ",tblEmployees[[#This Row],[Last_Name]])</f>
        <v>Sneha Khan</v>
      </c>
      <c r="E430" t="s">
        <v>14</v>
      </c>
      <c r="F430" t="s">
        <v>50</v>
      </c>
      <c r="G430" t="s">
        <v>156</v>
      </c>
      <c r="H430" t="s">
        <v>1388</v>
      </c>
      <c r="I430" t="s">
        <v>1389</v>
      </c>
      <c r="J430" s="2">
        <v>45721</v>
      </c>
      <c r="K430" t="s">
        <v>86</v>
      </c>
      <c r="L430" t="s">
        <v>20</v>
      </c>
    </row>
    <row r="431" spans="1:12">
      <c r="A431" t="s">
        <v>1390</v>
      </c>
      <c r="B431" t="s">
        <v>48</v>
      </c>
      <c r="C431" t="s">
        <v>89</v>
      </c>
      <c r="D431" t="str">
        <f>_xlfn.CONCAT(tblEmployees[[#This Row],[First_Name]]," ",tblEmployees[[#This Row],[Last_Name]])</f>
        <v>Rohan Yadav</v>
      </c>
      <c r="E431" t="s">
        <v>24</v>
      </c>
      <c r="F431" t="s">
        <v>59</v>
      </c>
      <c r="G431" t="s">
        <v>161</v>
      </c>
      <c r="H431" t="s">
        <v>1391</v>
      </c>
      <c r="I431" t="s">
        <v>1392</v>
      </c>
      <c r="J431" s="2">
        <v>45722</v>
      </c>
      <c r="K431" t="s">
        <v>93</v>
      </c>
      <c r="L431" t="s">
        <v>46</v>
      </c>
    </row>
    <row r="432" spans="1:12">
      <c r="A432" t="s">
        <v>1393</v>
      </c>
      <c r="B432" t="s">
        <v>57</v>
      </c>
      <c r="C432" t="s">
        <v>96</v>
      </c>
      <c r="D432" t="str">
        <f>_xlfn.CONCAT(tblEmployees[[#This Row],[First_Name]]," ",tblEmployees[[#This Row],[Last_Name]])</f>
        <v>Pooja More</v>
      </c>
      <c r="E432" t="s">
        <v>14</v>
      </c>
      <c r="F432" t="s">
        <v>67</v>
      </c>
      <c r="G432" t="s">
        <v>166</v>
      </c>
      <c r="H432" t="s">
        <v>1394</v>
      </c>
      <c r="I432" t="s">
        <v>1395</v>
      </c>
      <c r="J432" s="2">
        <v>45723</v>
      </c>
      <c r="K432" t="s">
        <v>19</v>
      </c>
      <c r="L432" t="s">
        <v>55</v>
      </c>
    </row>
    <row r="433" spans="1:12">
      <c r="A433" t="s">
        <v>1396</v>
      </c>
      <c r="B433" t="s">
        <v>65</v>
      </c>
      <c r="C433" t="s">
        <v>102</v>
      </c>
      <c r="D433" t="str">
        <f>_xlfn.CONCAT(tblEmployees[[#This Row],[First_Name]]," ",tblEmployees[[#This Row],[Last_Name]])</f>
        <v>Arjun Jadhav</v>
      </c>
      <c r="E433" t="s">
        <v>24</v>
      </c>
      <c r="F433" t="s">
        <v>75</v>
      </c>
      <c r="G433" t="s">
        <v>171</v>
      </c>
      <c r="H433" t="s">
        <v>1397</v>
      </c>
      <c r="I433" t="s">
        <v>1398</v>
      </c>
      <c r="J433" s="2">
        <v>45724</v>
      </c>
      <c r="K433" t="s">
        <v>29</v>
      </c>
      <c r="L433" t="s">
        <v>20</v>
      </c>
    </row>
    <row r="434" spans="1:12">
      <c r="A434" t="s">
        <v>1399</v>
      </c>
      <c r="B434" t="s">
        <v>73</v>
      </c>
      <c r="C434" t="s">
        <v>108</v>
      </c>
      <c r="D434" t="str">
        <f>_xlfn.CONCAT(tblEmployees[[#This Row],[First_Name]]," ",tblEmployees[[#This Row],[Last_Name]])</f>
        <v>Neha Patil</v>
      </c>
      <c r="E434" t="s">
        <v>14</v>
      </c>
      <c r="F434" t="s">
        <v>15</v>
      </c>
      <c r="G434" t="s">
        <v>16</v>
      </c>
      <c r="H434" t="s">
        <v>1400</v>
      </c>
      <c r="I434" t="s">
        <v>1401</v>
      </c>
      <c r="J434" s="2">
        <v>45725</v>
      </c>
      <c r="K434" t="s">
        <v>37</v>
      </c>
      <c r="L434" t="s">
        <v>20</v>
      </c>
    </row>
    <row r="435" spans="1:12">
      <c r="A435" t="s">
        <v>1402</v>
      </c>
      <c r="B435" t="s">
        <v>81</v>
      </c>
      <c r="C435" t="s">
        <v>114</v>
      </c>
      <c r="D435" t="str">
        <f>_xlfn.CONCAT(tblEmployees[[#This Row],[First_Name]]," ",tblEmployees[[#This Row],[Last_Name]])</f>
        <v>Karan Deshmukh</v>
      </c>
      <c r="E435" t="s">
        <v>24</v>
      </c>
      <c r="F435" t="s">
        <v>25</v>
      </c>
      <c r="G435" t="s">
        <v>26</v>
      </c>
      <c r="H435" t="s">
        <v>1403</v>
      </c>
      <c r="I435" t="s">
        <v>1404</v>
      </c>
      <c r="J435" s="2">
        <v>45726</v>
      </c>
      <c r="K435" t="s">
        <v>45</v>
      </c>
      <c r="L435" t="s">
        <v>20</v>
      </c>
    </row>
    <row r="436" spans="1:12">
      <c r="A436" t="s">
        <v>1405</v>
      </c>
      <c r="B436" t="s">
        <v>88</v>
      </c>
      <c r="C436" t="s">
        <v>120</v>
      </c>
      <c r="D436" t="str">
        <f>_xlfn.CONCAT(tblEmployees[[#This Row],[First_Name]]," ",tblEmployees[[#This Row],[Last_Name]])</f>
        <v>Anjali Shinde</v>
      </c>
      <c r="E436" t="s">
        <v>14</v>
      </c>
      <c r="F436" t="s">
        <v>33</v>
      </c>
      <c r="G436" t="s">
        <v>34</v>
      </c>
      <c r="H436" t="s">
        <v>1406</v>
      </c>
      <c r="I436" t="s">
        <v>1407</v>
      </c>
      <c r="J436" s="2">
        <v>45727</v>
      </c>
      <c r="K436" t="s">
        <v>54</v>
      </c>
      <c r="L436" t="s">
        <v>20</v>
      </c>
    </row>
    <row r="437" spans="1:12">
      <c r="A437" t="s">
        <v>1408</v>
      </c>
      <c r="B437" t="s">
        <v>95</v>
      </c>
      <c r="C437" t="s">
        <v>126</v>
      </c>
      <c r="D437" t="str">
        <f>_xlfn.CONCAT(tblEmployees[[#This Row],[First_Name]]," ",tblEmployees[[#This Row],[Last_Name]])</f>
        <v>Vikas Mane</v>
      </c>
      <c r="E437" t="s">
        <v>24</v>
      </c>
      <c r="F437" t="s">
        <v>41</v>
      </c>
      <c r="G437" t="s">
        <v>42</v>
      </c>
      <c r="H437" t="s">
        <v>1409</v>
      </c>
      <c r="I437" t="s">
        <v>1410</v>
      </c>
      <c r="J437" s="2">
        <v>45728</v>
      </c>
      <c r="K437" t="s">
        <v>63</v>
      </c>
      <c r="L437" t="s">
        <v>46</v>
      </c>
    </row>
    <row r="438" spans="1:12">
      <c r="A438" t="s">
        <v>1411</v>
      </c>
      <c r="B438" t="s">
        <v>101</v>
      </c>
      <c r="C438" t="s">
        <v>132</v>
      </c>
      <c r="D438" t="str">
        <f>_xlfn.CONCAT(tblEmployees[[#This Row],[First_Name]]," ",tblEmployees[[#This Row],[Last_Name]])</f>
        <v>Meera Chavan</v>
      </c>
      <c r="E438" t="s">
        <v>14</v>
      </c>
      <c r="F438" t="s">
        <v>50</v>
      </c>
      <c r="G438" t="s">
        <v>51</v>
      </c>
      <c r="H438" t="s">
        <v>1412</v>
      </c>
      <c r="I438" t="s">
        <v>1413</v>
      </c>
      <c r="J438" s="2">
        <v>45729</v>
      </c>
      <c r="K438" t="s">
        <v>71</v>
      </c>
      <c r="L438" t="s">
        <v>55</v>
      </c>
    </row>
    <row r="439" spans="1:12">
      <c r="A439" t="s">
        <v>1414</v>
      </c>
      <c r="B439" t="s">
        <v>107</v>
      </c>
      <c r="C439" t="s">
        <v>138</v>
      </c>
      <c r="D439" t="str">
        <f>_xlfn.CONCAT(tblEmployees[[#This Row],[First_Name]]," ",tblEmployees[[#This Row],[Last_Name]])</f>
        <v>Sahil Ansari</v>
      </c>
      <c r="E439" t="s">
        <v>24</v>
      </c>
      <c r="F439" t="s">
        <v>59</v>
      </c>
      <c r="G439" t="s">
        <v>60</v>
      </c>
      <c r="H439" t="s">
        <v>1415</v>
      </c>
      <c r="I439" t="s">
        <v>1416</v>
      </c>
      <c r="J439" s="2">
        <v>45730</v>
      </c>
      <c r="K439" t="s">
        <v>79</v>
      </c>
      <c r="L439" t="s">
        <v>20</v>
      </c>
    </row>
    <row r="440" spans="1:12">
      <c r="A440" t="s">
        <v>1417</v>
      </c>
      <c r="B440" t="s">
        <v>113</v>
      </c>
      <c r="C440" t="s">
        <v>144</v>
      </c>
      <c r="D440" t="str">
        <f>_xlfn.CONCAT(tblEmployees[[#This Row],[First_Name]]," ",tblEmployees[[#This Row],[Last_Name]])</f>
        <v>Aisha Rathod</v>
      </c>
      <c r="E440" t="s">
        <v>14</v>
      </c>
      <c r="F440" t="s">
        <v>67</v>
      </c>
      <c r="G440" t="s">
        <v>68</v>
      </c>
      <c r="H440" t="s">
        <v>1418</v>
      </c>
      <c r="I440" t="s">
        <v>1419</v>
      </c>
      <c r="J440" s="2">
        <v>45731</v>
      </c>
      <c r="K440" t="s">
        <v>86</v>
      </c>
      <c r="L440" t="s">
        <v>20</v>
      </c>
    </row>
    <row r="441" spans="1:12">
      <c r="A441" t="s">
        <v>1420</v>
      </c>
      <c r="B441" t="s">
        <v>119</v>
      </c>
      <c r="C441" t="s">
        <v>150</v>
      </c>
      <c r="D441" t="str">
        <f>_xlfn.CONCAT(tblEmployees[[#This Row],[First_Name]]," ",tblEmployees[[#This Row],[Last_Name]])</f>
        <v>Riya Pawar</v>
      </c>
      <c r="E441" t="s">
        <v>24</v>
      </c>
      <c r="F441" t="s">
        <v>75</v>
      </c>
      <c r="G441" t="s">
        <v>76</v>
      </c>
      <c r="H441" t="s">
        <v>1421</v>
      </c>
      <c r="I441" t="s">
        <v>1422</v>
      </c>
      <c r="J441" s="2">
        <v>45732</v>
      </c>
      <c r="K441" t="s">
        <v>93</v>
      </c>
      <c r="L441" t="s">
        <v>20</v>
      </c>
    </row>
    <row r="442" spans="1:12">
      <c r="A442" t="s">
        <v>1423</v>
      </c>
      <c r="B442" t="s">
        <v>125</v>
      </c>
      <c r="C442" t="s">
        <v>13</v>
      </c>
      <c r="D442" t="str">
        <f>_xlfn.CONCAT(tblEmployees[[#This Row],[First_Name]]," ",tblEmployees[[#This Row],[Last_Name]])</f>
        <v>Vivek Sharma</v>
      </c>
      <c r="E442" t="s">
        <v>14</v>
      </c>
      <c r="F442" t="s">
        <v>15</v>
      </c>
      <c r="G442" t="s">
        <v>83</v>
      </c>
      <c r="H442" t="s">
        <v>1424</v>
      </c>
      <c r="I442" t="s">
        <v>1425</v>
      </c>
      <c r="J442" s="2">
        <v>45733</v>
      </c>
      <c r="K442" t="s">
        <v>19</v>
      </c>
      <c r="L442" t="s">
        <v>20</v>
      </c>
    </row>
    <row r="443" spans="1:12">
      <c r="A443" t="s">
        <v>1426</v>
      </c>
      <c r="B443" t="s">
        <v>131</v>
      </c>
      <c r="C443" t="s">
        <v>23</v>
      </c>
      <c r="D443" t="str">
        <f>_xlfn.CONCAT(tblEmployees[[#This Row],[First_Name]]," ",tblEmployees[[#This Row],[Last_Name]])</f>
        <v>Aditya Patel</v>
      </c>
      <c r="E443" t="s">
        <v>24</v>
      </c>
      <c r="F443" t="s">
        <v>25</v>
      </c>
      <c r="G443" t="s">
        <v>90</v>
      </c>
      <c r="H443" t="s">
        <v>1427</v>
      </c>
      <c r="I443" t="s">
        <v>1428</v>
      </c>
      <c r="J443" s="2">
        <v>45734</v>
      </c>
      <c r="K443" t="s">
        <v>29</v>
      </c>
      <c r="L443" t="s">
        <v>46</v>
      </c>
    </row>
    <row r="444" spans="1:12">
      <c r="A444" t="s">
        <v>1429</v>
      </c>
      <c r="B444" t="s">
        <v>137</v>
      </c>
      <c r="C444" t="s">
        <v>32</v>
      </c>
      <c r="D444" t="str">
        <f>_xlfn.CONCAT(tblEmployees[[#This Row],[First_Name]]," ",tblEmployees[[#This Row],[Last_Name]])</f>
        <v>Nisha Gupta</v>
      </c>
      <c r="E444" t="s">
        <v>14</v>
      </c>
      <c r="F444" t="s">
        <v>33</v>
      </c>
      <c r="G444" t="s">
        <v>97</v>
      </c>
      <c r="H444" t="s">
        <v>1430</v>
      </c>
      <c r="I444" t="s">
        <v>1431</v>
      </c>
      <c r="J444" s="2">
        <v>45735</v>
      </c>
      <c r="K444" t="s">
        <v>37</v>
      </c>
      <c r="L444" t="s">
        <v>55</v>
      </c>
    </row>
    <row r="445" spans="1:12">
      <c r="A445" t="s">
        <v>1432</v>
      </c>
      <c r="B445" t="s">
        <v>143</v>
      </c>
      <c r="C445" t="s">
        <v>40</v>
      </c>
      <c r="D445" t="str">
        <f>_xlfn.CONCAT(tblEmployees[[#This Row],[First_Name]]," ",tblEmployees[[#This Row],[Last_Name]])</f>
        <v>Deepak Singh</v>
      </c>
      <c r="E445" t="s">
        <v>24</v>
      </c>
      <c r="F445" t="s">
        <v>41</v>
      </c>
      <c r="G445" t="s">
        <v>103</v>
      </c>
      <c r="H445" t="s">
        <v>1433</v>
      </c>
      <c r="I445" t="s">
        <v>1434</v>
      </c>
      <c r="J445" s="2">
        <v>45736</v>
      </c>
      <c r="K445" t="s">
        <v>45</v>
      </c>
      <c r="L445" t="s">
        <v>20</v>
      </c>
    </row>
    <row r="446" spans="1:12">
      <c r="A446" t="s">
        <v>1435</v>
      </c>
      <c r="B446" t="s">
        <v>149</v>
      </c>
      <c r="C446" t="s">
        <v>49</v>
      </c>
      <c r="D446" t="str">
        <f>_xlfn.CONCAT(tblEmployees[[#This Row],[First_Name]]," ",tblEmployees[[#This Row],[Last_Name]])</f>
        <v>Komal Verma</v>
      </c>
      <c r="E446" t="s">
        <v>14</v>
      </c>
      <c r="F446" t="s">
        <v>50</v>
      </c>
      <c r="G446" t="s">
        <v>109</v>
      </c>
      <c r="H446" t="s">
        <v>1436</v>
      </c>
      <c r="I446" t="s">
        <v>1437</v>
      </c>
      <c r="J446" s="2">
        <v>45737</v>
      </c>
      <c r="K446" t="s">
        <v>54</v>
      </c>
      <c r="L446" t="s">
        <v>20</v>
      </c>
    </row>
    <row r="447" spans="1:12">
      <c r="A447" t="s">
        <v>1438</v>
      </c>
      <c r="B447" t="s">
        <v>155</v>
      </c>
      <c r="C447" t="s">
        <v>58</v>
      </c>
      <c r="D447" t="str">
        <f>_xlfn.CONCAT(tblEmployees[[#This Row],[First_Name]]," ",tblEmployees[[#This Row],[Last_Name]])</f>
        <v>Sameer Joshi</v>
      </c>
      <c r="E447" t="s">
        <v>24</v>
      </c>
      <c r="F447" t="s">
        <v>59</v>
      </c>
      <c r="G447" t="s">
        <v>115</v>
      </c>
      <c r="H447" t="s">
        <v>1439</v>
      </c>
      <c r="I447" t="s">
        <v>1440</v>
      </c>
      <c r="J447" s="2">
        <v>45738</v>
      </c>
      <c r="K447" t="s">
        <v>63</v>
      </c>
      <c r="L447" t="s">
        <v>20</v>
      </c>
    </row>
    <row r="448" spans="1:12">
      <c r="A448" t="s">
        <v>1441</v>
      </c>
      <c r="B448" t="s">
        <v>160</v>
      </c>
      <c r="C448" t="s">
        <v>66</v>
      </c>
      <c r="D448" t="str">
        <f>_xlfn.CONCAT(tblEmployees[[#This Row],[First_Name]]," ",tblEmployees[[#This Row],[Last_Name]])</f>
        <v>Farhan Kulkarni</v>
      </c>
      <c r="E448" t="s">
        <v>14</v>
      </c>
      <c r="F448" t="s">
        <v>67</v>
      </c>
      <c r="G448" t="s">
        <v>121</v>
      </c>
      <c r="H448" t="s">
        <v>1442</v>
      </c>
      <c r="I448" t="s">
        <v>1443</v>
      </c>
      <c r="J448" s="2">
        <v>45739</v>
      </c>
      <c r="K448" t="s">
        <v>71</v>
      </c>
      <c r="L448" t="s">
        <v>20</v>
      </c>
    </row>
    <row r="449" spans="1:12">
      <c r="A449" t="s">
        <v>1444</v>
      </c>
      <c r="B449" t="s">
        <v>165</v>
      </c>
      <c r="C449" t="s">
        <v>74</v>
      </c>
      <c r="D449" t="str">
        <f>_xlfn.CONCAT(tblEmployees[[#This Row],[First_Name]]," ",tblEmployees[[#This Row],[Last_Name]])</f>
        <v>Isha Shaikh</v>
      </c>
      <c r="E449" t="s">
        <v>24</v>
      </c>
      <c r="F449" t="s">
        <v>75</v>
      </c>
      <c r="G449" t="s">
        <v>127</v>
      </c>
      <c r="H449" t="s">
        <v>1445</v>
      </c>
      <c r="I449" t="s">
        <v>1446</v>
      </c>
      <c r="J449" s="2">
        <v>45740</v>
      </c>
      <c r="K449" t="s">
        <v>79</v>
      </c>
      <c r="L449" t="s">
        <v>46</v>
      </c>
    </row>
    <row r="450" spans="1:12">
      <c r="A450" t="s">
        <v>1447</v>
      </c>
      <c r="B450" t="s">
        <v>170</v>
      </c>
      <c r="C450" t="s">
        <v>82</v>
      </c>
      <c r="D450" t="str">
        <f>_xlfn.CONCAT(tblEmployees[[#This Row],[First_Name]]," ",tblEmployees[[#This Row],[Last_Name]])</f>
        <v>Sonia Khan</v>
      </c>
      <c r="E450" t="s">
        <v>14</v>
      </c>
      <c r="F450" t="s">
        <v>15</v>
      </c>
      <c r="G450" t="s">
        <v>133</v>
      </c>
      <c r="H450" t="s">
        <v>1448</v>
      </c>
      <c r="I450" t="s">
        <v>1449</v>
      </c>
      <c r="J450" s="2">
        <v>45741</v>
      </c>
      <c r="K450" t="s">
        <v>86</v>
      </c>
      <c r="L450" t="s">
        <v>55</v>
      </c>
    </row>
    <row r="451" spans="1:12">
      <c r="A451" t="s">
        <v>1450</v>
      </c>
      <c r="B451" t="s">
        <v>175</v>
      </c>
      <c r="C451" t="s">
        <v>89</v>
      </c>
      <c r="D451" t="str">
        <f>_xlfn.CONCAT(tblEmployees[[#This Row],[First_Name]]," ",tblEmployees[[#This Row],[Last_Name]])</f>
        <v>Akash Yadav</v>
      </c>
      <c r="E451" t="s">
        <v>24</v>
      </c>
      <c r="F451" t="s">
        <v>25</v>
      </c>
      <c r="G451" t="s">
        <v>139</v>
      </c>
      <c r="H451" t="s">
        <v>1451</v>
      </c>
      <c r="I451" t="s">
        <v>1452</v>
      </c>
      <c r="J451" s="2">
        <v>45742</v>
      </c>
      <c r="K451" t="s">
        <v>93</v>
      </c>
      <c r="L451" t="s">
        <v>20</v>
      </c>
    </row>
    <row r="452" spans="1:12">
      <c r="A452" t="s">
        <v>1453</v>
      </c>
      <c r="B452" t="s">
        <v>12</v>
      </c>
      <c r="C452" t="s">
        <v>96</v>
      </c>
      <c r="D452" t="str">
        <f>_xlfn.CONCAT(tblEmployees[[#This Row],[First_Name]]," ",tblEmployees[[#This Row],[Last_Name]])</f>
        <v>Rahul More</v>
      </c>
      <c r="E452" t="s">
        <v>14</v>
      </c>
      <c r="F452" t="s">
        <v>33</v>
      </c>
      <c r="G452" t="s">
        <v>145</v>
      </c>
      <c r="H452" t="s">
        <v>1454</v>
      </c>
      <c r="I452" t="s">
        <v>1455</v>
      </c>
      <c r="J452" s="2">
        <v>45743</v>
      </c>
      <c r="K452" t="s">
        <v>19</v>
      </c>
      <c r="L452" t="s">
        <v>20</v>
      </c>
    </row>
    <row r="453" spans="1:12">
      <c r="A453" t="s">
        <v>1456</v>
      </c>
      <c r="B453" t="s">
        <v>22</v>
      </c>
      <c r="C453" t="s">
        <v>102</v>
      </c>
      <c r="D453" t="str">
        <f>_xlfn.CONCAT(tblEmployees[[#This Row],[First_Name]]," ",tblEmployees[[#This Row],[Last_Name]])</f>
        <v>Priya Jadhav</v>
      </c>
      <c r="E453" t="s">
        <v>24</v>
      </c>
      <c r="F453" t="s">
        <v>41</v>
      </c>
      <c r="G453" t="s">
        <v>151</v>
      </c>
      <c r="H453" t="s">
        <v>1457</v>
      </c>
      <c r="I453" t="s">
        <v>1458</v>
      </c>
      <c r="J453" s="2">
        <v>45744</v>
      </c>
      <c r="K453" t="s">
        <v>29</v>
      </c>
      <c r="L453" t="s">
        <v>20</v>
      </c>
    </row>
    <row r="454" spans="1:12">
      <c r="A454" t="s">
        <v>1459</v>
      </c>
      <c r="B454" t="s">
        <v>31</v>
      </c>
      <c r="C454" t="s">
        <v>108</v>
      </c>
      <c r="D454" t="str">
        <f>_xlfn.CONCAT(tblEmployees[[#This Row],[First_Name]]," ",tblEmployees[[#This Row],[Last_Name]])</f>
        <v>Amit Patil</v>
      </c>
      <c r="E454" t="s">
        <v>14</v>
      </c>
      <c r="F454" t="s">
        <v>50</v>
      </c>
      <c r="G454" t="s">
        <v>156</v>
      </c>
      <c r="H454" t="s">
        <v>1460</v>
      </c>
      <c r="I454" t="s">
        <v>1461</v>
      </c>
      <c r="J454" s="2">
        <v>45745</v>
      </c>
      <c r="K454" t="s">
        <v>37</v>
      </c>
      <c r="L454" t="s">
        <v>20</v>
      </c>
    </row>
    <row r="455" spans="1:12">
      <c r="A455" t="s">
        <v>1462</v>
      </c>
      <c r="B455" t="s">
        <v>39</v>
      </c>
      <c r="C455" t="s">
        <v>114</v>
      </c>
      <c r="D455" t="str">
        <f>_xlfn.CONCAT(tblEmployees[[#This Row],[First_Name]]," ",tblEmployees[[#This Row],[Last_Name]])</f>
        <v>Sneha Deshmukh</v>
      </c>
      <c r="E455" t="s">
        <v>24</v>
      </c>
      <c r="F455" t="s">
        <v>59</v>
      </c>
      <c r="G455" t="s">
        <v>161</v>
      </c>
      <c r="H455" t="s">
        <v>1463</v>
      </c>
      <c r="I455" t="s">
        <v>1464</v>
      </c>
      <c r="J455" s="2">
        <v>45746</v>
      </c>
      <c r="K455" t="s">
        <v>45</v>
      </c>
      <c r="L455" t="s">
        <v>46</v>
      </c>
    </row>
    <row r="456" spans="1:12">
      <c r="A456" t="s">
        <v>1465</v>
      </c>
      <c r="B456" t="s">
        <v>48</v>
      </c>
      <c r="C456" t="s">
        <v>120</v>
      </c>
      <c r="D456" t="str">
        <f>_xlfn.CONCAT(tblEmployees[[#This Row],[First_Name]]," ",tblEmployees[[#This Row],[Last_Name]])</f>
        <v>Rohan Shinde</v>
      </c>
      <c r="E456" t="s">
        <v>14</v>
      </c>
      <c r="F456" t="s">
        <v>67</v>
      </c>
      <c r="G456" t="s">
        <v>166</v>
      </c>
      <c r="H456" t="s">
        <v>1466</v>
      </c>
      <c r="I456" t="s">
        <v>1467</v>
      </c>
      <c r="J456" s="2">
        <v>45747</v>
      </c>
      <c r="K456" t="s">
        <v>54</v>
      </c>
      <c r="L456" t="s">
        <v>55</v>
      </c>
    </row>
    <row r="457" spans="1:12">
      <c r="A457" t="s">
        <v>1468</v>
      </c>
      <c r="B457" t="s">
        <v>57</v>
      </c>
      <c r="C457" t="s">
        <v>126</v>
      </c>
      <c r="D457" t="str">
        <f>_xlfn.CONCAT(tblEmployees[[#This Row],[First_Name]]," ",tblEmployees[[#This Row],[Last_Name]])</f>
        <v>Pooja Mane</v>
      </c>
      <c r="E457" t="s">
        <v>24</v>
      </c>
      <c r="F457" t="s">
        <v>75</v>
      </c>
      <c r="G457" t="s">
        <v>171</v>
      </c>
      <c r="H457" t="s">
        <v>1469</v>
      </c>
      <c r="I457" t="s">
        <v>1470</v>
      </c>
      <c r="J457" s="2">
        <v>45748</v>
      </c>
      <c r="K457" t="s">
        <v>63</v>
      </c>
      <c r="L457" t="s">
        <v>20</v>
      </c>
    </row>
    <row r="458" spans="1:12">
      <c r="A458" t="s">
        <v>1471</v>
      </c>
      <c r="B458" t="s">
        <v>65</v>
      </c>
      <c r="C458" t="s">
        <v>132</v>
      </c>
      <c r="D458" t="str">
        <f>_xlfn.CONCAT(tblEmployees[[#This Row],[First_Name]]," ",tblEmployees[[#This Row],[Last_Name]])</f>
        <v>Arjun Chavan</v>
      </c>
      <c r="E458" t="s">
        <v>14</v>
      </c>
      <c r="F458" t="s">
        <v>15</v>
      </c>
      <c r="G458" t="s">
        <v>16</v>
      </c>
      <c r="H458" t="s">
        <v>1472</v>
      </c>
      <c r="I458" t="s">
        <v>1473</v>
      </c>
      <c r="J458" s="2">
        <v>45749</v>
      </c>
      <c r="K458" t="s">
        <v>71</v>
      </c>
      <c r="L458" t="s">
        <v>20</v>
      </c>
    </row>
    <row r="459" spans="1:12">
      <c r="A459" t="s">
        <v>1474</v>
      </c>
      <c r="B459" t="s">
        <v>73</v>
      </c>
      <c r="C459" t="s">
        <v>138</v>
      </c>
      <c r="D459" t="str">
        <f>_xlfn.CONCAT(tblEmployees[[#This Row],[First_Name]]," ",tblEmployees[[#This Row],[Last_Name]])</f>
        <v>Neha Ansari</v>
      </c>
      <c r="E459" t="s">
        <v>24</v>
      </c>
      <c r="F459" t="s">
        <v>25</v>
      </c>
      <c r="G459" t="s">
        <v>26</v>
      </c>
      <c r="H459" t="s">
        <v>1475</v>
      </c>
      <c r="I459" t="s">
        <v>1476</v>
      </c>
      <c r="J459" s="2">
        <v>45750</v>
      </c>
      <c r="K459" t="s">
        <v>79</v>
      </c>
      <c r="L459" t="s">
        <v>20</v>
      </c>
    </row>
    <row r="460" spans="1:12">
      <c r="A460" t="s">
        <v>1477</v>
      </c>
      <c r="B460" t="s">
        <v>81</v>
      </c>
      <c r="C460" t="s">
        <v>144</v>
      </c>
      <c r="D460" t="str">
        <f>_xlfn.CONCAT(tblEmployees[[#This Row],[First_Name]]," ",tblEmployees[[#This Row],[Last_Name]])</f>
        <v>Karan Rathod</v>
      </c>
      <c r="E460" t="s">
        <v>14</v>
      </c>
      <c r="F460" t="s">
        <v>33</v>
      </c>
      <c r="G460" t="s">
        <v>34</v>
      </c>
      <c r="H460" t="s">
        <v>1478</v>
      </c>
      <c r="I460" t="s">
        <v>1479</v>
      </c>
      <c r="J460" s="2">
        <v>45751</v>
      </c>
      <c r="K460" t="s">
        <v>86</v>
      </c>
      <c r="L460" t="s">
        <v>20</v>
      </c>
    </row>
    <row r="461" spans="1:12">
      <c r="A461" t="s">
        <v>1480</v>
      </c>
      <c r="B461" t="s">
        <v>88</v>
      </c>
      <c r="C461" t="s">
        <v>150</v>
      </c>
      <c r="D461" t="str">
        <f>_xlfn.CONCAT(tblEmployees[[#This Row],[First_Name]]," ",tblEmployees[[#This Row],[Last_Name]])</f>
        <v>Anjali Pawar</v>
      </c>
      <c r="E461" t="s">
        <v>24</v>
      </c>
      <c r="F461" t="s">
        <v>41</v>
      </c>
      <c r="G461" t="s">
        <v>42</v>
      </c>
      <c r="H461" t="s">
        <v>1481</v>
      </c>
      <c r="I461" t="s">
        <v>1482</v>
      </c>
      <c r="J461" s="2">
        <v>45752</v>
      </c>
      <c r="K461" t="s">
        <v>93</v>
      </c>
      <c r="L461" t="s">
        <v>46</v>
      </c>
    </row>
    <row r="462" spans="1:12">
      <c r="A462" t="s">
        <v>1483</v>
      </c>
      <c r="B462" t="s">
        <v>95</v>
      </c>
      <c r="C462" t="s">
        <v>13</v>
      </c>
      <c r="D462" t="str">
        <f>_xlfn.CONCAT(tblEmployees[[#This Row],[First_Name]]," ",tblEmployees[[#This Row],[Last_Name]])</f>
        <v>Vikas Sharma</v>
      </c>
      <c r="E462" t="s">
        <v>14</v>
      </c>
      <c r="F462" t="s">
        <v>50</v>
      </c>
      <c r="G462" t="s">
        <v>51</v>
      </c>
      <c r="H462" t="s">
        <v>1484</v>
      </c>
      <c r="I462" t="s">
        <v>1485</v>
      </c>
      <c r="J462" s="2">
        <v>45753</v>
      </c>
      <c r="K462" t="s">
        <v>19</v>
      </c>
      <c r="L462" t="s">
        <v>55</v>
      </c>
    </row>
    <row r="463" spans="1:12">
      <c r="A463" t="s">
        <v>1486</v>
      </c>
      <c r="B463" t="s">
        <v>101</v>
      </c>
      <c r="C463" t="s">
        <v>23</v>
      </c>
      <c r="D463" t="str">
        <f>_xlfn.CONCAT(tblEmployees[[#This Row],[First_Name]]," ",tblEmployees[[#This Row],[Last_Name]])</f>
        <v>Meera Patel</v>
      </c>
      <c r="E463" t="s">
        <v>24</v>
      </c>
      <c r="F463" t="s">
        <v>59</v>
      </c>
      <c r="G463" t="s">
        <v>60</v>
      </c>
      <c r="H463" t="s">
        <v>1487</v>
      </c>
      <c r="I463" t="s">
        <v>1488</v>
      </c>
      <c r="J463" s="2">
        <v>45754</v>
      </c>
      <c r="K463" t="s">
        <v>29</v>
      </c>
      <c r="L463" t="s">
        <v>20</v>
      </c>
    </row>
    <row r="464" spans="1:12">
      <c r="A464" t="s">
        <v>1489</v>
      </c>
      <c r="B464" t="s">
        <v>107</v>
      </c>
      <c r="C464" t="s">
        <v>32</v>
      </c>
      <c r="D464" t="str">
        <f>_xlfn.CONCAT(tblEmployees[[#This Row],[First_Name]]," ",tblEmployees[[#This Row],[Last_Name]])</f>
        <v>Sahil Gupta</v>
      </c>
      <c r="E464" t="s">
        <v>14</v>
      </c>
      <c r="F464" t="s">
        <v>67</v>
      </c>
      <c r="G464" t="s">
        <v>68</v>
      </c>
      <c r="H464" t="s">
        <v>1490</v>
      </c>
      <c r="I464" t="s">
        <v>1491</v>
      </c>
      <c r="J464" s="2">
        <v>45755</v>
      </c>
      <c r="K464" t="s">
        <v>37</v>
      </c>
      <c r="L464" t="s">
        <v>20</v>
      </c>
    </row>
    <row r="465" spans="1:12">
      <c r="A465" t="s">
        <v>1492</v>
      </c>
      <c r="B465" t="s">
        <v>113</v>
      </c>
      <c r="C465" t="s">
        <v>40</v>
      </c>
      <c r="D465" t="str">
        <f>_xlfn.CONCAT(tblEmployees[[#This Row],[First_Name]]," ",tblEmployees[[#This Row],[Last_Name]])</f>
        <v>Aisha Singh</v>
      </c>
      <c r="E465" t="s">
        <v>24</v>
      </c>
      <c r="F465" t="s">
        <v>75</v>
      </c>
      <c r="G465" t="s">
        <v>76</v>
      </c>
      <c r="H465" t="s">
        <v>1493</v>
      </c>
      <c r="I465" t="s">
        <v>1494</v>
      </c>
      <c r="J465" s="2">
        <v>45756</v>
      </c>
      <c r="K465" t="s">
        <v>45</v>
      </c>
      <c r="L465" t="s">
        <v>20</v>
      </c>
    </row>
    <row r="466" spans="1:12">
      <c r="A466" t="s">
        <v>1495</v>
      </c>
      <c r="B466" t="s">
        <v>119</v>
      </c>
      <c r="C466" t="s">
        <v>49</v>
      </c>
      <c r="D466" t="str">
        <f>_xlfn.CONCAT(tblEmployees[[#This Row],[First_Name]]," ",tblEmployees[[#This Row],[Last_Name]])</f>
        <v>Riya Verma</v>
      </c>
      <c r="E466" t="s">
        <v>14</v>
      </c>
      <c r="F466" t="s">
        <v>15</v>
      </c>
      <c r="G466" t="s">
        <v>83</v>
      </c>
      <c r="H466" t="s">
        <v>1496</v>
      </c>
      <c r="I466" t="s">
        <v>1497</v>
      </c>
      <c r="J466" s="2">
        <v>45757</v>
      </c>
      <c r="K466" t="s">
        <v>54</v>
      </c>
      <c r="L466" t="s">
        <v>20</v>
      </c>
    </row>
    <row r="467" spans="1:12">
      <c r="A467" t="s">
        <v>1498</v>
      </c>
      <c r="B467" t="s">
        <v>125</v>
      </c>
      <c r="C467" t="s">
        <v>58</v>
      </c>
      <c r="D467" t="str">
        <f>_xlfn.CONCAT(tblEmployees[[#This Row],[First_Name]]," ",tblEmployees[[#This Row],[Last_Name]])</f>
        <v>Vivek Joshi</v>
      </c>
      <c r="E467" t="s">
        <v>24</v>
      </c>
      <c r="F467" t="s">
        <v>25</v>
      </c>
      <c r="G467" t="s">
        <v>90</v>
      </c>
      <c r="H467" t="s">
        <v>1499</v>
      </c>
      <c r="I467" t="s">
        <v>1500</v>
      </c>
      <c r="J467" s="2">
        <v>45758</v>
      </c>
      <c r="K467" t="s">
        <v>63</v>
      </c>
      <c r="L467" t="s">
        <v>46</v>
      </c>
    </row>
    <row r="468" spans="1:12">
      <c r="A468" t="s">
        <v>1501</v>
      </c>
      <c r="B468" t="s">
        <v>131</v>
      </c>
      <c r="C468" t="s">
        <v>66</v>
      </c>
      <c r="D468" t="str">
        <f>_xlfn.CONCAT(tblEmployees[[#This Row],[First_Name]]," ",tblEmployees[[#This Row],[Last_Name]])</f>
        <v>Aditya Kulkarni</v>
      </c>
      <c r="E468" t="s">
        <v>14</v>
      </c>
      <c r="F468" t="s">
        <v>33</v>
      </c>
      <c r="G468" t="s">
        <v>97</v>
      </c>
      <c r="H468" t="s">
        <v>1502</v>
      </c>
      <c r="I468" t="s">
        <v>1503</v>
      </c>
      <c r="J468" s="2">
        <v>45759</v>
      </c>
      <c r="K468" t="s">
        <v>71</v>
      </c>
      <c r="L468" t="s">
        <v>55</v>
      </c>
    </row>
    <row r="469" spans="1:12">
      <c r="A469" t="s">
        <v>1504</v>
      </c>
      <c r="B469" t="s">
        <v>137</v>
      </c>
      <c r="C469" t="s">
        <v>74</v>
      </c>
      <c r="D469" t="str">
        <f>_xlfn.CONCAT(tblEmployees[[#This Row],[First_Name]]," ",tblEmployees[[#This Row],[Last_Name]])</f>
        <v>Nisha Shaikh</v>
      </c>
      <c r="E469" t="s">
        <v>24</v>
      </c>
      <c r="F469" t="s">
        <v>41</v>
      </c>
      <c r="G469" t="s">
        <v>103</v>
      </c>
      <c r="H469" t="s">
        <v>1505</v>
      </c>
      <c r="I469" t="s">
        <v>1506</v>
      </c>
      <c r="J469" s="2">
        <v>45760</v>
      </c>
      <c r="K469" t="s">
        <v>79</v>
      </c>
      <c r="L469" t="s">
        <v>20</v>
      </c>
    </row>
    <row r="470" spans="1:12">
      <c r="A470" t="s">
        <v>1507</v>
      </c>
      <c r="B470" t="s">
        <v>143</v>
      </c>
      <c r="C470" t="s">
        <v>82</v>
      </c>
      <c r="D470" t="str">
        <f>_xlfn.CONCAT(tblEmployees[[#This Row],[First_Name]]," ",tblEmployees[[#This Row],[Last_Name]])</f>
        <v>Deepak Khan</v>
      </c>
      <c r="E470" t="s">
        <v>14</v>
      </c>
      <c r="F470" t="s">
        <v>50</v>
      </c>
      <c r="G470" t="s">
        <v>109</v>
      </c>
      <c r="H470" t="s">
        <v>1508</v>
      </c>
      <c r="I470" t="s">
        <v>1509</v>
      </c>
      <c r="J470" s="2">
        <v>45761</v>
      </c>
      <c r="K470" t="s">
        <v>86</v>
      </c>
      <c r="L470" t="s">
        <v>20</v>
      </c>
    </row>
    <row r="471" spans="1:12">
      <c r="A471" t="s">
        <v>1510</v>
      </c>
      <c r="B471" t="s">
        <v>149</v>
      </c>
      <c r="C471" t="s">
        <v>89</v>
      </c>
      <c r="D471" t="str">
        <f>_xlfn.CONCAT(tblEmployees[[#This Row],[First_Name]]," ",tblEmployees[[#This Row],[Last_Name]])</f>
        <v>Komal Yadav</v>
      </c>
      <c r="E471" t="s">
        <v>24</v>
      </c>
      <c r="F471" t="s">
        <v>59</v>
      </c>
      <c r="G471" t="s">
        <v>115</v>
      </c>
      <c r="H471" t="s">
        <v>1511</v>
      </c>
      <c r="I471" t="s">
        <v>1512</v>
      </c>
      <c r="J471" s="2">
        <v>45762</v>
      </c>
      <c r="K471" t="s">
        <v>93</v>
      </c>
      <c r="L471" t="s">
        <v>20</v>
      </c>
    </row>
    <row r="472" spans="1:12">
      <c r="A472" t="s">
        <v>1513</v>
      </c>
      <c r="B472" t="s">
        <v>155</v>
      </c>
      <c r="C472" t="s">
        <v>96</v>
      </c>
      <c r="D472" t="str">
        <f>_xlfn.CONCAT(tblEmployees[[#This Row],[First_Name]]," ",tblEmployees[[#This Row],[Last_Name]])</f>
        <v>Sameer More</v>
      </c>
      <c r="E472" t="s">
        <v>14</v>
      </c>
      <c r="F472" t="s">
        <v>67</v>
      </c>
      <c r="G472" t="s">
        <v>121</v>
      </c>
      <c r="H472" t="s">
        <v>1514</v>
      </c>
      <c r="I472" t="s">
        <v>1515</v>
      </c>
      <c r="J472" s="2">
        <v>45763</v>
      </c>
      <c r="K472" t="s">
        <v>19</v>
      </c>
      <c r="L472" t="s">
        <v>20</v>
      </c>
    </row>
    <row r="473" spans="1:12">
      <c r="A473" t="s">
        <v>1516</v>
      </c>
      <c r="B473" t="s">
        <v>160</v>
      </c>
      <c r="C473" t="s">
        <v>102</v>
      </c>
      <c r="D473" t="str">
        <f>_xlfn.CONCAT(tblEmployees[[#This Row],[First_Name]]," ",tblEmployees[[#This Row],[Last_Name]])</f>
        <v>Farhan Jadhav</v>
      </c>
      <c r="E473" t="s">
        <v>24</v>
      </c>
      <c r="F473" t="s">
        <v>75</v>
      </c>
      <c r="G473" t="s">
        <v>127</v>
      </c>
      <c r="H473" t="s">
        <v>1517</v>
      </c>
      <c r="I473" t="s">
        <v>1518</v>
      </c>
      <c r="J473" s="2">
        <v>45764</v>
      </c>
      <c r="K473" t="s">
        <v>29</v>
      </c>
      <c r="L473" t="s">
        <v>46</v>
      </c>
    </row>
    <row r="474" spans="1:12">
      <c r="A474" t="s">
        <v>1519</v>
      </c>
      <c r="B474" t="s">
        <v>165</v>
      </c>
      <c r="C474" t="s">
        <v>108</v>
      </c>
      <c r="D474" t="str">
        <f>_xlfn.CONCAT(tblEmployees[[#This Row],[First_Name]]," ",tblEmployees[[#This Row],[Last_Name]])</f>
        <v>Isha Patil</v>
      </c>
      <c r="E474" t="s">
        <v>14</v>
      </c>
      <c r="F474" t="s">
        <v>15</v>
      </c>
      <c r="G474" t="s">
        <v>133</v>
      </c>
      <c r="H474" t="s">
        <v>1520</v>
      </c>
      <c r="I474" t="s">
        <v>1521</v>
      </c>
      <c r="J474" s="2">
        <v>45765</v>
      </c>
      <c r="K474" t="s">
        <v>37</v>
      </c>
      <c r="L474" t="s">
        <v>55</v>
      </c>
    </row>
    <row r="475" spans="1:12">
      <c r="A475" t="s">
        <v>1522</v>
      </c>
      <c r="B475" t="s">
        <v>170</v>
      </c>
      <c r="C475" t="s">
        <v>114</v>
      </c>
      <c r="D475" t="str">
        <f>_xlfn.CONCAT(tblEmployees[[#This Row],[First_Name]]," ",tblEmployees[[#This Row],[Last_Name]])</f>
        <v>Sonia Deshmukh</v>
      </c>
      <c r="E475" t="s">
        <v>24</v>
      </c>
      <c r="F475" t="s">
        <v>25</v>
      </c>
      <c r="G475" t="s">
        <v>139</v>
      </c>
      <c r="H475" t="s">
        <v>1523</v>
      </c>
      <c r="I475" t="s">
        <v>1524</v>
      </c>
      <c r="J475" s="2">
        <v>45766</v>
      </c>
      <c r="K475" t="s">
        <v>45</v>
      </c>
      <c r="L475" t="s">
        <v>20</v>
      </c>
    </row>
    <row r="476" spans="1:12">
      <c r="A476" t="s">
        <v>1525</v>
      </c>
      <c r="B476" t="s">
        <v>175</v>
      </c>
      <c r="C476" t="s">
        <v>120</v>
      </c>
      <c r="D476" t="str">
        <f>_xlfn.CONCAT(tblEmployees[[#This Row],[First_Name]]," ",tblEmployees[[#This Row],[Last_Name]])</f>
        <v>Akash Shinde</v>
      </c>
      <c r="E476" t="s">
        <v>14</v>
      </c>
      <c r="F476" t="s">
        <v>33</v>
      </c>
      <c r="G476" t="s">
        <v>145</v>
      </c>
      <c r="H476" t="s">
        <v>1526</v>
      </c>
      <c r="I476" t="s">
        <v>1527</v>
      </c>
      <c r="J476" s="2">
        <v>45767</v>
      </c>
      <c r="K476" t="s">
        <v>54</v>
      </c>
      <c r="L476" t="s">
        <v>20</v>
      </c>
    </row>
    <row r="477" spans="1:12">
      <c r="A477" t="s">
        <v>1528</v>
      </c>
      <c r="B477" t="s">
        <v>12</v>
      </c>
      <c r="C477" t="s">
        <v>126</v>
      </c>
      <c r="D477" t="str">
        <f>_xlfn.CONCAT(tblEmployees[[#This Row],[First_Name]]," ",tblEmployees[[#This Row],[Last_Name]])</f>
        <v>Rahul Mane</v>
      </c>
      <c r="E477" t="s">
        <v>24</v>
      </c>
      <c r="F477" t="s">
        <v>41</v>
      </c>
      <c r="G477" t="s">
        <v>151</v>
      </c>
      <c r="H477" t="s">
        <v>1529</v>
      </c>
      <c r="I477" t="s">
        <v>1530</v>
      </c>
      <c r="J477" s="2">
        <v>45768</v>
      </c>
      <c r="K477" t="s">
        <v>63</v>
      </c>
      <c r="L477" t="s">
        <v>20</v>
      </c>
    </row>
    <row r="478" spans="1:12">
      <c r="A478" t="s">
        <v>1531</v>
      </c>
      <c r="B478" t="s">
        <v>22</v>
      </c>
      <c r="C478" t="s">
        <v>132</v>
      </c>
      <c r="D478" t="str">
        <f>_xlfn.CONCAT(tblEmployees[[#This Row],[First_Name]]," ",tblEmployees[[#This Row],[Last_Name]])</f>
        <v>Priya Chavan</v>
      </c>
      <c r="E478" t="s">
        <v>14</v>
      </c>
      <c r="F478" t="s">
        <v>50</v>
      </c>
      <c r="G478" t="s">
        <v>156</v>
      </c>
      <c r="H478" t="s">
        <v>1532</v>
      </c>
      <c r="I478" t="s">
        <v>1533</v>
      </c>
      <c r="J478" s="2">
        <v>45769</v>
      </c>
      <c r="K478" t="s">
        <v>71</v>
      </c>
      <c r="L478" t="s">
        <v>20</v>
      </c>
    </row>
    <row r="479" spans="1:12">
      <c r="A479" t="s">
        <v>1534</v>
      </c>
      <c r="B479" t="s">
        <v>31</v>
      </c>
      <c r="C479" t="s">
        <v>138</v>
      </c>
      <c r="D479" t="str">
        <f>_xlfn.CONCAT(tblEmployees[[#This Row],[First_Name]]," ",tblEmployees[[#This Row],[Last_Name]])</f>
        <v>Amit Ansari</v>
      </c>
      <c r="E479" t="s">
        <v>24</v>
      </c>
      <c r="F479" t="s">
        <v>59</v>
      </c>
      <c r="G479" t="s">
        <v>161</v>
      </c>
      <c r="H479" t="s">
        <v>1535</v>
      </c>
      <c r="I479" t="s">
        <v>1536</v>
      </c>
      <c r="J479" s="2">
        <v>45770</v>
      </c>
      <c r="K479" t="s">
        <v>79</v>
      </c>
      <c r="L479" t="s">
        <v>46</v>
      </c>
    </row>
    <row r="480" spans="1:12">
      <c r="A480" t="s">
        <v>1537</v>
      </c>
      <c r="B480" t="s">
        <v>39</v>
      </c>
      <c r="C480" t="s">
        <v>144</v>
      </c>
      <c r="D480" t="str">
        <f>_xlfn.CONCAT(tblEmployees[[#This Row],[First_Name]]," ",tblEmployees[[#This Row],[Last_Name]])</f>
        <v>Sneha Rathod</v>
      </c>
      <c r="E480" t="s">
        <v>14</v>
      </c>
      <c r="F480" t="s">
        <v>67</v>
      </c>
      <c r="G480" t="s">
        <v>166</v>
      </c>
      <c r="H480" t="s">
        <v>1538</v>
      </c>
      <c r="I480" t="s">
        <v>1539</v>
      </c>
      <c r="J480" s="2">
        <v>45771</v>
      </c>
      <c r="K480" t="s">
        <v>86</v>
      </c>
      <c r="L480" t="s">
        <v>55</v>
      </c>
    </row>
    <row r="481" spans="1:12">
      <c r="A481" t="s">
        <v>1540</v>
      </c>
      <c r="B481" t="s">
        <v>48</v>
      </c>
      <c r="C481" t="s">
        <v>150</v>
      </c>
      <c r="D481" t="str">
        <f>_xlfn.CONCAT(tblEmployees[[#This Row],[First_Name]]," ",tblEmployees[[#This Row],[Last_Name]])</f>
        <v>Rohan Pawar</v>
      </c>
      <c r="E481" t="s">
        <v>24</v>
      </c>
      <c r="F481" t="s">
        <v>75</v>
      </c>
      <c r="G481" t="s">
        <v>171</v>
      </c>
      <c r="H481" t="s">
        <v>1541</v>
      </c>
      <c r="I481" t="s">
        <v>1542</v>
      </c>
      <c r="J481" s="2">
        <v>45772</v>
      </c>
      <c r="K481" t="s">
        <v>93</v>
      </c>
      <c r="L481" t="s">
        <v>20</v>
      </c>
    </row>
    <row r="482" spans="1:12">
      <c r="A482" t="s">
        <v>1543</v>
      </c>
      <c r="B482" t="s">
        <v>57</v>
      </c>
      <c r="C482" t="s">
        <v>13</v>
      </c>
      <c r="D482" t="str">
        <f>_xlfn.CONCAT(tblEmployees[[#This Row],[First_Name]]," ",tblEmployees[[#This Row],[Last_Name]])</f>
        <v>Pooja Sharma</v>
      </c>
      <c r="E482" t="s">
        <v>14</v>
      </c>
      <c r="F482" t="s">
        <v>15</v>
      </c>
      <c r="G482" t="s">
        <v>16</v>
      </c>
      <c r="H482" t="s">
        <v>1544</v>
      </c>
      <c r="I482" t="s">
        <v>1545</v>
      </c>
      <c r="J482" s="2">
        <v>45773</v>
      </c>
      <c r="K482" t="s">
        <v>19</v>
      </c>
      <c r="L482" t="s">
        <v>20</v>
      </c>
    </row>
    <row r="483" spans="1:12">
      <c r="A483" t="s">
        <v>1546</v>
      </c>
      <c r="B483" t="s">
        <v>65</v>
      </c>
      <c r="C483" t="s">
        <v>23</v>
      </c>
      <c r="D483" t="str">
        <f>_xlfn.CONCAT(tblEmployees[[#This Row],[First_Name]]," ",tblEmployees[[#This Row],[Last_Name]])</f>
        <v>Arjun Patel</v>
      </c>
      <c r="E483" t="s">
        <v>24</v>
      </c>
      <c r="F483" t="s">
        <v>25</v>
      </c>
      <c r="G483" t="s">
        <v>26</v>
      </c>
      <c r="H483" t="s">
        <v>1547</v>
      </c>
      <c r="I483" t="s">
        <v>1548</v>
      </c>
      <c r="J483" s="2">
        <v>45774</v>
      </c>
      <c r="K483" t="s">
        <v>29</v>
      </c>
      <c r="L483" t="s">
        <v>20</v>
      </c>
    </row>
    <row r="484" spans="1:12">
      <c r="A484" t="s">
        <v>1549</v>
      </c>
      <c r="B484" t="s">
        <v>73</v>
      </c>
      <c r="C484" t="s">
        <v>32</v>
      </c>
      <c r="D484" t="str">
        <f>_xlfn.CONCAT(tblEmployees[[#This Row],[First_Name]]," ",tblEmployees[[#This Row],[Last_Name]])</f>
        <v>Neha Gupta</v>
      </c>
      <c r="E484" t="s">
        <v>14</v>
      </c>
      <c r="F484" t="s">
        <v>33</v>
      </c>
      <c r="G484" t="s">
        <v>34</v>
      </c>
      <c r="H484" t="s">
        <v>1550</v>
      </c>
      <c r="I484" t="s">
        <v>1551</v>
      </c>
      <c r="J484" s="2">
        <v>45775</v>
      </c>
      <c r="K484" t="s">
        <v>37</v>
      </c>
      <c r="L484" t="s">
        <v>20</v>
      </c>
    </row>
    <row r="485" spans="1:12">
      <c r="A485" t="s">
        <v>1552</v>
      </c>
      <c r="B485" t="s">
        <v>81</v>
      </c>
      <c r="C485" t="s">
        <v>40</v>
      </c>
      <c r="D485" t="str">
        <f>_xlfn.CONCAT(tblEmployees[[#This Row],[First_Name]]," ",tblEmployees[[#This Row],[Last_Name]])</f>
        <v>Karan Singh</v>
      </c>
      <c r="E485" t="s">
        <v>24</v>
      </c>
      <c r="F485" t="s">
        <v>41</v>
      </c>
      <c r="G485" t="s">
        <v>42</v>
      </c>
      <c r="H485" t="s">
        <v>1553</v>
      </c>
      <c r="I485" t="s">
        <v>1554</v>
      </c>
      <c r="J485" s="2">
        <v>45776</v>
      </c>
      <c r="K485" t="s">
        <v>45</v>
      </c>
      <c r="L485" t="s">
        <v>46</v>
      </c>
    </row>
    <row r="486" spans="1:12">
      <c r="A486" t="s">
        <v>1555</v>
      </c>
      <c r="B486" t="s">
        <v>88</v>
      </c>
      <c r="C486" t="s">
        <v>49</v>
      </c>
      <c r="D486" t="str">
        <f>_xlfn.CONCAT(tblEmployees[[#This Row],[First_Name]]," ",tblEmployees[[#This Row],[Last_Name]])</f>
        <v>Anjali Verma</v>
      </c>
      <c r="E486" t="s">
        <v>14</v>
      </c>
      <c r="F486" t="s">
        <v>50</v>
      </c>
      <c r="G486" t="s">
        <v>51</v>
      </c>
      <c r="H486" t="s">
        <v>1556</v>
      </c>
      <c r="I486" t="s">
        <v>1557</v>
      </c>
      <c r="J486" s="2">
        <v>45777</v>
      </c>
      <c r="K486" t="s">
        <v>54</v>
      </c>
      <c r="L486" t="s">
        <v>55</v>
      </c>
    </row>
    <row r="487" spans="1:12">
      <c r="A487" t="s">
        <v>1558</v>
      </c>
      <c r="B487" t="s">
        <v>95</v>
      </c>
      <c r="C487" t="s">
        <v>58</v>
      </c>
      <c r="D487" t="str">
        <f>_xlfn.CONCAT(tblEmployees[[#This Row],[First_Name]]," ",tblEmployees[[#This Row],[Last_Name]])</f>
        <v>Vikas Joshi</v>
      </c>
      <c r="E487" t="s">
        <v>24</v>
      </c>
      <c r="F487" t="s">
        <v>59</v>
      </c>
      <c r="G487" t="s">
        <v>60</v>
      </c>
      <c r="H487" t="s">
        <v>1559</v>
      </c>
      <c r="I487" t="s">
        <v>1560</v>
      </c>
      <c r="J487" s="2">
        <v>45778</v>
      </c>
      <c r="K487" t="s">
        <v>63</v>
      </c>
      <c r="L487" t="s">
        <v>20</v>
      </c>
    </row>
    <row r="488" spans="1:12">
      <c r="A488" t="s">
        <v>1561</v>
      </c>
      <c r="B488" t="s">
        <v>101</v>
      </c>
      <c r="C488" t="s">
        <v>66</v>
      </c>
      <c r="D488" t="str">
        <f>_xlfn.CONCAT(tblEmployees[[#This Row],[First_Name]]," ",tblEmployees[[#This Row],[Last_Name]])</f>
        <v>Meera Kulkarni</v>
      </c>
      <c r="E488" t="s">
        <v>14</v>
      </c>
      <c r="F488" t="s">
        <v>67</v>
      </c>
      <c r="G488" t="s">
        <v>68</v>
      </c>
      <c r="H488" t="s">
        <v>1562</v>
      </c>
      <c r="I488" t="s">
        <v>1563</v>
      </c>
      <c r="J488" s="2">
        <v>45779</v>
      </c>
      <c r="K488" t="s">
        <v>71</v>
      </c>
      <c r="L488" t="s">
        <v>20</v>
      </c>
    </row>
    <row r="489" spans="1:12">
      <c r="A489" t="s">
        <v>1564</v>
      </c>
      <c r="B489" t="s">
        <v>107</v>
      </c>
      <c r="C489" t="s">
        <v>74</v>
      </c>
      <c r="D489" t="str">
        <f>_xlfn.CONCAT(tblEmployees[[#This Row],[First_Name]]," ",tblEmployees[[#This Row],[Last_Name]])</f>
        <v>Sahil Shaikh</v>
      </c>
      <c r="E489" t="s">
        <v>24</v>
      </c>
      <c r="F489" t="s">
        <v>75</v>
      </c>
      <c r="G489" t="s">
        <v>76</v>
      </c>
      <c r="H489" t="s">
        <v>1565</v>
      </c>
      <c r="I489" t="s">
        <v>1566</v>
      </c>
      <c r="J489" s="2">
        <v>45780</v>
      </c>
      <c r="K489" t="s">
        <v>79</v>
      </c>
      <c r="L489" t="s">
        <v>20</v>
      </c>
    </row>
    <row r="490" spans="1:12">
      <c r="A490" t="s">
        <v>1567</v>
      </c>
      <c r="B490" t="s">
        <v>113</v>
      </c>
      <c r="C490" t="s">
        <v>82</v>
      </c>
      <c r="D490" t="str">
        <f>_xlfn.CONCAT(tblEmployees[[#This Row],[First_Name]]," ",tblEmployees[[#This Row],[Last_Name]])</f>
        <v>Aisha Khan</v>
      </c>
      <c r="E490" t="s">
        <v>14</v>
      </c>
      <c r="F490" t="s">
        <v>15</v>
      </c>
      <c r="G490" t="s">
        <v>83</v>
      </c>
      <c r="H490" t="s">
        <v>1568</v>
      </c>
      <c r="I490" t="s">
        <v>1569</v>
      </c>
      <c r="J490" s="2">
        <v>45781</v>
      </c>
      <c r="K490" t="s">
        <v>86</v>
      </c>
      <c r="L490" t="s">
        <v>20</v>
      </c>
    </row>
    <row r="491" spans="1:12">
      <c r="A491" t="s">
        <v>1570</v>
      </c>
      <c r="B491" t="s">
        <v>119</v>
      </c>
      <c r="C491" t="s">
        <v>89</v>
      </c>
      <c r="D491" t="str">
        <f>_xlfn.CONCAT(tblEmployees[[#This Row],[First_Name]]," ",tblEmployees[[#This Row],[Last_Name]])</f>
        <v>Riya Yadav</v>
      </c>
      <c r="E491" t="s">
        <v>24</v>
      </c>
      <c r="F491" t="s">
        <v>25</v>
      </c>
      <c r="G491" t="s">
        <v>90</v>
      </c>
      <c r="H491" t="s">
        <v>1571</v>
      </c>
      <c r="I491" t="s">
        <v>1572</v>
      </c>
      <c r="J491" s="2">
        <v>45782</v>
      </c>
      <c r="K491" t="s">
        <v>93</v>
      </c>
      <c r="L491" t="s">
        <v>46</v>
      </c>
    </row>
    <row r="492" spans="1:12">
      <c r="A492" t="s">
        <v>1573</v>
      </c>
      <c r="B492" t="s">
        <v>125</v>
      </c>
      <c r="C492" t="s">
        <v>96</v>
      </c>
      <c r="D492" t="str">
        <f>_xlfn.CONCAT(tblEmployees[[#This Row],[First_Name]]," ",tblEmployees[[#This Row],[Last_Name]])</f>
        <v>Vivek More</v>
      </c>
      <c r="E492" t="s">
        <v>14</v>
      </c>
      <c r="F492" t="s">
        <v>33</v>
      </c>
      <c r="G492" t="s">
        <v>97</v>
      </c>
      <c r="H492" t="s">
        <v>1574</v>
      </c>
      <c r="I492" t="s">
        <v>1575</v>
      </c>
      <c r="J492" s="2">
        <v>45783</v>
      </c>
      <c r="K492" t="s">
        <v>19</v>
      </c>
      <c r="L492" t="s">
        <v>55</v>
      </c>
    </row>
    <row r="493" spans="1:12">
      <c r="A493" t="s">
        <v>1576</v>
      </c>
      <c r="B493" t="s">
        <v>131</v>
      </c>
      <c r="C493" t="s">
        <v>102</v>
      </c>
      <c r="D493" t="str">
        <f>_xlfn.CONCAT(tblEmployees[[#This Row],[First_Name]]," ",tblEmployees[[#This Row],[Last_Name]])</f>
        <v>Aditya Jadhav</v>
      </c>
      <c r="E493" t="s">
        <v>24</v>
      </c>
      <c r="F493" t="s">
        <v>41</v>
      </c>
      <c r="G493" t="s">
        <v>103</v>
      </c>
      <c r="H493" t="s">
        <v>1577</v>
      </c>
      <c r="I493" t="s">
        <v>1578</v>
      </c>
      <c r="J493" s="2">
        <v>45784</v>
      </c>
      <c r="K493" t="s">
        <v>29</v>
      </c>
      <c r="L493" t="s">
        <v>20</v>
      </c>
    </row>
    <row r="494" spans="1:12">
      <c r="A494" t="s">
        <v>1579</v>
      </c>
      <c r="B494" t="s">
        <v>137</v>
      </c>
      <c r="C494" t="s">
        <v>108</v>
      </c>
      <c r="D494" t="str">
        <f>_xlfn.CONCAT(tblEmployees[[#This Row],[First_Name]]," ",tblEmployees[[#This Row],[Last_Name]])</f>
        <v>Nisha Patil</v>
      </c>
      <c r="E494" t="s">
        <v>14</v>
      </c>
      <c r="F494" t="s">
        <v>50</v>
      </c>
      <c r="G494" t="s">
        <v>109</v>
      </c>
      <c r="H494" t="s">
        <v>1580</v>
      </c>
      <c r="I494" t="s">
        <v>1581</v>
      </c>
      <c r="J494" s="2">
        <v>45785</v>
      </c>
      <c r="K494" t="s">
        <v>37</v>
      </c>
      <c r="L494" t="s">
        <v>20</v>
      </c>
    </row>
    <row r="495" spans="1:12">
      <c r="A495" t="s">
        <v>1582</v>
      </c>
      <c r="B495" t="s">
        <v>143</v>
      </c>
      <c r="C495" t="s">
        <v>114</v>
      </c>
      <c r="D495" t="str">
        <f>_xlfn.CONCAT(tblEmployees[[#This Row],[First_Name]]," ",tblEmployees[[#This Row],[Last_Name]])</f>
        <v>Deepak Deshmukh</v>
      </c>
      <c r="E495" t="s">
        <v>24</v>
      </c>
      <c r="F495" t="s">
        <v>59</v>
      </c>
      <c r="G495" t="s">
        <v>115</v>
      </c>
      <c r="H495" t="s">
        <v>1583</v>
      </c>
      <c r="I495" t="s">
        <v>1584</v>
      </c>
      <c r="J495" s="2">
        <v>45786</v>
      </c>
      <c r="K495" t="s">
        <v>45</v>
      </c>
      <c r="L495" t="s">
        <v>20</v>
      </c>
    </row>
    <row r="496" spans="1:12">
      <c r="A496" t="s">
        <v>1585</v>
      </c>
      <c r="B496" t="s">
        <v>149</v>
      </c>
      <c r="C496" t="s">
        <v>120</v>
      </c>
      <c r="D496" t="str">
        <f>_xlfn.CONCAT(tblEmployees[[#This Row],[First_Name]]," ",tblEmployees[[#This Row],[Last_Name]])</f>
        <v>Komal Shinde</v>
      </c>
      <c r="E496" t="s">
        <v>14</v>
      </c>
      <c r="F496" t="s">
        <v>67</v>
      </c>
      <c r="G496" t="s">
        <v>121</v>
      </c>
      <c r="H496" t="s">
        <v>1586</v>
      </c>
      <c r="I496" t="s">
        <v>1587</v>
      </c>
      <c r="J496" s="2">
        <v>45787</v>
      </c>
      <c r="K496" t="s">
        <v>54</v>
      </c>
      <c r="L496" t="s">
        <v>20</v>
      </c>
    </row>
    <row r="497" spans="1:12">
      <c r="A497" t="s">
        <v>1588</v>
      </c>
      <c r="B497" t="s">
        <v>155</v>
      </c>
      <c r="C497" t="s">
        <v>126</v>
      </c>
      <c r="D497" t="str">
        <f>_xlfn.CONCAT(tblEmployees[[#This Row],[First_Name]]," ",tblEmployees[[#This Row],[Last_Name]])</f>
        <v>Sameer Mane</v>
      </c>
      <c r="E497" t="s">
        <v>24</v>
      </c>
      <c r="F497" t="s">
        <v>75</v>
      </c>
      <c r="G497" t="s">
        <v>127</v>
      </c>
      <c r="H497" t="s">
        <v>1589</v>
      </c>
      <c r="I497" t="s">
        <v>1590</v>
      </c>
      <c r="J497" s="2">
        <v>45788</v>
      </c>
      <c r="K497" t="s">
        <v>63</v>
      </c>
      <c r="L497" t="s">
        <v>46</v>
      </c>
    </row>
    <row r="498" spans="1:12">
      <c r="A498" t="s">
        <v>1591</v>
      </c>
      <c r="B498" t="s">
        <v>160</v>
      </c>
      <c r="C498" t="s">
        <v>132</v>
      </c>
      <c r="D498" t="str">
        <f>_xlfn.CONCAT(tblEmployees[[#This Row],[First_Name]]," ",tblEmployees[[#This Row],[Last_Name]])</f>
        <v>Farhan Chavan</v>
      </c>
      <c r="E498" t="s">
        <v>14</v>
      </c>
      <c r="F498" t="s">
        <v>15</v>
      </c>
      <c r="G498" t="s">
        <v>133</v>
      </c>
      <c r="H498" t="s">
        <v>1592</v>
      </c>
      <c r="I498" t="s">
        <v>1593</v>
      </c>
      <c r="J498" s="2">
        <v>45789</v>
      </c>
      <c r="K498" t="s">
        <v>71</v>
      </c>
      <c r="L498" t="s">
        <v>55</v>
      </c>
    </row>
    <row r="499" spans="1:12">
      <c r="A499" t="s">
        <v>1594</v>
      </c>
      <c r="B499" t="s">
        <v>165</v>
      </c>
      <c r="C499" t="s">
        <v>138</v>
      </c>
      <c r="D499" t="str">
        <f>_xlfn.CONCAT(tblEmployees[[#This Row],[First_Name]]," ",tblEmployees[[#This Row],[Last_Name]])</f>
        <v>Isha Ansari</v>
      </c>
      <c r="E499" t="s">
        <v>24</v>
      </c>
      <c r="F499" t="s">
        <v>25</v>
      </c>
      <c r="G499" t="s">
        <v>139</v>
      </c>
      <c r="H499" t="s">
        <v>1595</v>
      </c>
      <c r="I499" t="s">
        <v>1596</v>
      </c>
      <c r="J499" s="2">
        <v>45790</v>
      </c>
      <c r="K499" t="s">
        <v>79</v>
      </c>
      <c r="L499" t="s">
        <v>20</v>
      </c>
    </row>
    <row r="500" spans="1:12">
      <c r="A500" t="s">
        <v>1597</v>
      </c>
      <c r="B500" t="s">
        <v>170</v>
      </c>
      <c r="C500" t="s">
        <v>144</v>
      </c>
      <c r="D500" t="str">
        <f>_xlfn.CONCAT(tblEmployees[[#This Row],[First_Name]]," ",tblEmployees[[#This Row],[Last_Name]])</f>
        <v>Sonia Rathod</v>
      </c>
      <c r="E500" t="s">
        <v>14</v>
      </c>
      <c r="F500" t="s">
        <v>33</v>
      </c>
      <c r="G500" t="s">
        <v>145</v>
      </c>
      <c r="H500" t="s">
        <v>1598</v>
      </c>
      <c r="I500" t="s">
        <v>1599</v>
      </c>
      <c r="J500" s="2">
        <v>45791</v>
      </c>
      <c r="K500" t="s">
        <v>86</v>
      </c>
      <c r="L500" t="s">
        <v>20</v>
      </c>
    </row>
    <row r="501" spans="1:12">
      <c r="A501" t="s">
        <v>1600</v>
      </c>
      <c r="B501" t="s">
        <v>175</v>
      </c>
      <c r="C501" t="s">
        <v>150</v>
      </c>
      <c r="D501" t="str">
        <f>_xlfn.CONCAT(tblEmployees[[#This Row],[First_Name]]," ",tblEmployees[[#This Row],[Last_Name]])</f>
        <v>Akash Pawar</v>
      </c>
      <c r="E501" t="s">
        <v>24</v>
      </c>
      <c r="F501" t="s">
        <v>41</v>
      </c>
      <c r="G501" t="s">
        <v>151</v>
      </c>
      <c r="H501" t="s">
        <v>1601</v>
      </c>
      <c r="I501" t="s">
        <v>1602</v>
      </c>
      <c r="J501" s="2">
        <v>45792</v>
      </c>
      <c r="K501" t="s">
        <v>93</v>
      </c>
      <c r="L501" t="s">
        <v>20</v>
      </c>
    </row>
  </sheetData>
  <dataValidations count="3">
    <dataValidation type="list" sqref="E2:E501" xr:uid="{00000000-0002-0000-0000-000000000000}">
      <formula1>"Male,Female,Other"</formula1>
    </dataValidation>
    <dataValidation type="list" sqref="F2:F501" xr:uid="{00000000-0002-0000-0000-000001000000}">
      <formula1>"HR,Admin,Sales,IT,Support,Finance,Operations,Marketing"</formula1>
    </dataValidation>
    <dataValidation type="list" sqref="L2:L501" xr:uid="{00000000-0002-0000-0000-000002000000}">
      <formula1>"Active,Probation,Resigned"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workbookViewId="0">
      <selection activeCell="G7" sqref="G7"/>
    </sheetView>
  </sheetViews>
  <sheetFormatPr defaultRowHeight="13.8"/>
  <cols>
    <col min="1" max="1" width="15" customWidth="1"/>
    <col min="2" max="2" width="14" customWidth="1"/>
    <col min="3" max="3" width="15" customWidth="1"/>
    <col min="4" max="5" width="14" customWidth="1"/>
    <col min="6" max="6" width="16" customWidth="1"/>
    <col min="7" max="7" width="14" customWidth="1"/>
  </cols>
  <sheetData>
    <row r="1" spans="1:7">
      <c r="A1" s="1" t="s">
        <v>1603</v>
      </c>
      <c r="B1" s="1" t="s">
        <v>0</v>
      </c>
      <c r="C1" s="1" t="s">
        <v>1604</v>
      </c>
      <c r="D1" s="1" t="s">
        <v>1605</v>
      </c>
      <c r="E1" s="1" t="s">
        <v>1606</v>
      </c>
      <c r="F1" s="1" t="s">
        <v>1607</v>
      </c>
      <c r="G1" s="1" t="s">
        <v>1608</v>
      </c>
    </row>
    <row r="2" spans="1:7">
      <c r="A2" t="s">
        <v>1609</v>
      </c>
      <c r="B2" t="s">
        <v>11</v>
      </c>
      <c r="C2" s="2">
        <v>46174</v>
      </c>
      <c r="D2" s="3">
        <v>0.37986111111111109</v>
      </c>
      <c r="E2" s="3">
        <v>0.75763888888888886</v>
      </c>
      <c r="F2" s="4">
        <f>IF(OR(D2="",E2=""),"",E2-D2)</f>
        <v>0.37777777777777777</v>
      </c>
      <c r="G2" t="s">
        <v>1610</v>
      </c>
    </row>
    <row r="3" spans="1:7">
      <c r="A3" t="s">
        <v>1611</v>
      </c>
      <c r="B3" t="s">
        <v>21</v>
      </c>
      <c r="C3" s="2">
        <v>46175</v>
      </c>
      <c r="D3" s="3">
        <v>0.38472222222222224</v>
      </c>
      <c r="E3" s="3">
        <v>0.76527777777777772</v>
      </c>
      <c r="F3" s="4">
        <f>IF(OR(D3="",E3=""),"",E3-D3)</f>
        <v>0.38055555555555548</v>
      </c>
      <c r="G3" t="s">
        <v>1610</v>
      </c>
    </row>
    <row r="4" spans="1:7">
      <c r="A4" t="s">
        <v>1612</v>
      </c>
      <c r="B4" t="s">
        <v>30</v>
      </c>
      <c r="C4" s="2">
        <v>46176</v>
      </c>
      <c r="D4" s="3"/>
      <c r="E4" s="3"/>
      <c r="F4" s="4"/>
      <c r="G4" t="s">
        <v>1613</v>
      </c>
    </row>
    <row r="5" spans="1:7">
      <c r="A5" t="s">
        <v>1614</v>
      </c>
      <c r="B5" t="s">
        <v>38</v>
      </c>
      <c r="C5" s="2">
        <v>46177</v>
      </c>
      <c r="D5" s="3">
        <v>0.43611111111111112</v>
      </c>
      <c r="E5" s="3">
        <v>0.78055555555555556</v>
      </c>
      <c r="F5" s="4">
        <f>IF(OR(D5="",E5=""),"",E5-D5)</f>
        <v>0.34444444444444444</v>
      </c>
      <c r="G5" t="s">
        <v>1615</v>
      </c>
    </row>
    <row r="6" spans="1:7">
      <c r="A6" t="s">
        <v>1616</v>
      </c>
      <c r="B6" t="s">
        <v>47</v>
      </c>
      <c r="C6" s="2">
        <v>46178</v>
      </c>
      <c r="D6" s="3">
        <v>0.39930555555555558</v>
      </c>
      <c r="E6" s="3">
        <v>0.78819444444444442</v>
      </c>
      <c r="F6" s="4">
        <f>IF(OR(D6="",E6=""),"",E6-D6)</f>
        <v>0.38888888888888884</v>
      </c>
      <c r="G6" t="s">
        <v>1610</v>
      </c>
    </row>
    <row r="7" spans="1:7">
      <c r="A7" t="s">
        <v>1617</v>
      </c>
      <c r="B7" t="s">
        <v>56</v>
      </c>
      <c r="C7" s="2">
        <v>46179</v>
      </c>
      <c r="D7" s="3">
        <v>0.40416666666666667</v>
      </c>
      <c r="E7" s="3">
        <v>0.75416666666666665</v>
      </c>
      <c r="F7" s="4">
        <f>IF(OR(D7="",E7=""),"",E7-D7)</f>
        <v>0.35</v>
      </c>
      <c r="G7" t="s">
        <v>1610</v>
      </c>
    </row>
    <row r="8" spans="1:7">
      <c r="A8" t="s">
        <v>1618</v>
      </c>
      <c r="B8" t="s">
        <v>64</v>
      </c>
      <c r="C8" s="2">
        <v>46180</v>
      </c>
      <c r="D8" s="3">
        <v>0.37777777777777777</v>
      </c>
      <c r="E8" s="3">
        <v>0.76180555555555551</v>
      </c>
      <c r="F8" s="4">
        <f>IF(OR(D8="",E8=""),"",E8-D8)</f>
        <v>0.38402777777777775</v>
      </c>
      <c r="G8" t="s">
        <v>1610</v>
      </c>
    </row>
    <row r="9" spans="1:7">
      <c r="A9" t="s">
        <v>1619</v>
      </c>
      <c r="B9" t="s">
        <v>72</v>
      </c>
      <c r="C9" s="2">
        <v>46181</v>
      </c>
      <c r="D9" s="3"/>
      <c r="E9" s="3"/>
      <c r="F9" s="4"/>
      <c r="G9" t="s">
        <v>1613</v>
      </c>
    </row>
    <row r="10" spans="1:7">
      <c r="A10" t="s">
        <v>1620</v>
      </c>
      <c r="B10" t="s">
        <v>80</v>
      </c>
      <c r="C10" s="2">
        <v>46182</v>
      </c>
      <c r="D10" s="3">
        <v>0.42916666666666664</v>
      </c>
      <c r="E10" s="3">
        <v>0.77708333333333335</v>
      </c>
      <c r="F10" s="4">
        <f>IF(OR(D10="",E10=""),"",E10-D10)</f>
        <v>0.34791666666666671</v>
      </c>
      <c r="G10" t="s">
        <v>1615</v>
      </c>
    </row>
    <row r="11" spans="1:7">
      <c r="A11" t="s">
        <v>1621</v>
      </c>
      <c r="B11" t="s">
        <v>87</v>
      </c>
      <c r="C11" s="2">
        <v>46183</v>
      </c>
      <c r="D11" s="3">
        <v>0.3923611111111111</v>
      </c>
      <c r="E11" s="3">
        <v>0.78472222222222221</v>
      </c>
      <c r="F11" s="4">
        <f>IF(OR(D11="",E11=""),"",E11-D11)</f>
        <v>0.3923611111111111</v>
      </c>
      <c r="G11" t="s">
        <v>1610</v>
      </c>
    </row>
    <row r="12" spans="1:7">
      <c r="A12" t="s">
        <v>1622</v>
      </c>
      <c r="B12" t="s">
        <v>94</v>
      </c>
      <c r="C12" s="2">
        <v>46184</v>
      </c>
      <c r="D12" s="3">
        <v>0.3972222222222222</v>
      </c>
      <c r="E12" s="3">
        <v>0.75069444444444444</v>
      </c>
      <c r="F12" s="4">
        <f>IF(OR(D12="",E12=""),"",E12-D12)</f>
        <v>0.35347222222222224</v>
      </c>
      <c r="G12" t="s">
        <v>1610</v>
      </c>
    </row>
    <row r="13" spans="1:7">
      <c r="A13" t="s">
        <v>1623</v>
      </c>
      <c r="B13" t="s">
        <v>100</v>
      </c>
      <c r="C13" s="2">
        <v>46185</v>
      </c>
      <c r="D13" s="3">
        <v>0.40208333333333335</v>
      </c>
      <c r="E13" s="3">
        <v>0.7583333333333333</v>
      </c>
      <c r="F13" s="4">
        <f>IF(OR(D13="",E13=""),"",E13-D13)</f>
        <v>0.35624999999999996</v>
      </c>
      <c r="G13" t="s">
        <v>1610</v>
      </c>
    </row>
    <row r="14" spans="1:7">
      <c r="A14" t="s">
        <v>1624</v>
      </c>
      <c r="B14" t="s">
        <v>106</v>
      </c>
      <c r="C14" s="2">
        <v>46186</v>
      </c>
      <c r="D14" s="3"/>
      <c r="E14" s="3"/>
      <c r="F14" s="4"/>
      <c r="G14" t="s">
        <v>1613</v>
      </c>
    </row>
    <row r="15" spans="1:7">
      <c r="A15" t="s">
        <v>1625</v>
      </c>
      <c r="B15" t="s">
        <v>112</v>
      </c>
      <c r="C15" s="2">
        <v>46187</v>
      </c>
      <c r="D15" s="3">
        <v>0.42222222222222222</v>
      </c>
      <c r="E15" s="3">
        <v>0.77361111111111114</v>
      </c>
      <c r="F15" s="4">
        <f>IF(OR(D15="",E15=""),"",E15-D15)</f>
        <v>0.35138888888888892</v>
      </c>
      <c r="G15" t="s">
        <v>1615</v>
      </c>
    </row>
    <row r="16" spans="1:7">
      <c r="A16" t="s">
        <v>1626</v>
      </c>
      <c r="B16" t="s">
        <v>118</v>
      </c>
      <c r="C16" s="2">
        <v>46188</v>
      </c>
      <c r="D16" s="3">
        <v>0.38541666666666669</v>
      </c>
      <c r="E16" s="3">
        <v>0.78125</v>
      </c>
      <c r="F16" s="4">
        <f>IF(OR(D16="",E16=""),"",E16-D16)</f>
        <v>0.39583333333333331</v>
      </c>
      <c r="G16" t="s">
        <v>1610</v>
      </c>
    </row>
    <row r="17" spans="1:7">
      <c r="A17" t="s">
        <v>1627</v>
      </c>
      <c r="B17" t="s">
        <v>124</v>
      </c>
      <c r="C17" s="2">
        <v>46189</v>
      </c>
      <c r="D17" s="3">
        <v>0.39027777777777778</v>
      </c>
      <c r="E17" s="3">
        <v>0.78888888888888886</v>
      </c>
      <c r="F17" s="4">
        <f>IF(OR(D17="",E17=""),"",E17-D17)</f>
        <v>0.39861111111111108</v>
      </c>
      <c r="G17" t="s">
        <v>1610</v>
      </c>
    </row>
    <row r="18" spans="1:7">
      <c r="A18" t="s">
        <v>1628</v>
      </c>
      <c r="B18" t="s">
        <v>130</v>
      </c>
      <c r="C18" s="2">
        <v>46190</v>
      </c>
      <c r="D18" s="3">
        <v>0.39513888888888887</v>
      </c>
      <c r="E18" s="3">
        <v>0.75486111111111109</v>
      </c>
      <c r="F18" s="4">
        <f>IF(OR(D18="",E18=""),"",E18-D18)</f>
        <v>0.35972222222222222</v>
      </c>
      <c r="G18" t="s">
        <v>1610</v>
      </c>
    </row>
    <row r="19" spans="1:7">
      <c r="A19" t="s">
        <v>1629</v>
      </c>
      <c r="B19" t="s">
        <v>136</v>
      </c>
      <c r="C19" s="2">
        <v>46191</v>
      </c>
      <c r="D19" s="3"/>
      <c r="E19" s="3"/>
      <c r="F19" s="4"/>
      <c r="G19" t="s">
        <v>1613</v>
      </c>
    </row>
    <row r="20" spans="1:7">
      <c r="A20" t="s">
        <v>1630</v>
      </c>
      <c r="B20" t="s">
        <v>142</v>
      </c>
      <c r="C20" s="2">
        <v>46192</v>
      </c>
      <c r="D20" s="3">
        <v>0.4465277777777778</v>
      </c>
      <c r="E20" s="3">
        <v>0.77013888888888893</v>
      </c>
      <c r="F20" s="4">
        <f>IF(OR(D20="",E20=""),"",E20-D20)</f>
        <v>0.32361111111111113</v>
      </c>
      <c r="G20" t="s">
        <v>1615</v>
      </c>
    </row>
    <row r="21" spans="1:7">
      <c r="A21" t="s">
        <v>1631</v>
      </c>
      <c r="B21" t="s">
        <v>148</v>
      </c>
      <c r="C21" s="2">
        <v>46193</v>
      </c>
      <c r="D21" s="3">
        <v>0.37847222222222221</v>
      </c>
      <c r="E21" s="3">
        <v>0.77777777777777779</v>
      </c>
      <c r="F21" s="4">
        <f>IF(OR(D21="",E21=""),"",E21-D21)</f>
        <v>0.39930555555555558</v>
      </c>
      <c r="G21" t="s">
        <v>1610</v>
      </c>
    </row>
    <row r="22" spans="1:7">
      <c r="A22" t="s">
        <v>1632</v>
      </c>
      <c r="B22" t="s">
        <v>154</v>
      </c>
      <c r="C22" s="2">
        <v>46194</v>
      </c>
      <c r="D22" s="3">
        <v>0.38333333333333336</v>
      </c>
      <c r="E22" s="3">
        <v>0.78541666666666665</v>
      </c>
      <c r="F22" s="4">
        <f>IF(OR(D22="",E22=""),"",E22-D22)</f>
        <v>0.40208333333333329</v>
      </c>
      <c r="G22" t="s">
        <v>1610</v>
      </c>
    </row>
    <row r="23" spans="1:7">
      <c r="A23" t="s">
        <v>1633</v>
      </c>
      <c r="B23" t="s">
        <v>159</v>
      </c>
      <c r="C23" s="2">
        <v>46195</v>
      </c>
      <c r="D23" s="3">
        <v>0.38819444444444445</v>
      </c>
      <c r="E23" s="3">
        <v>0.75138888888888888</v>
      </c>
      <c r="F23" s="4">
        <f>IF(OR(D23="",E23=""),"",E23-D23)</f>
        <v>0.36319444444444443</v>
      </c>
      <c r="G23" t="s">
        <v>1610</v>
      </c>
    </row>
    <row r="24" spans="1:7">
      <c r="A24" t="s">
        <v>1634</v>
      </c>
      <c r="B24" t="s">
        <v>164</v>
      </c>
      <c r="C24" s="2">
        <v>46196</v>
      </c>
      <c r="D24" s="3"/>
      <c r="E24" s="3"/>
      <c r="F24" s="4"/>
      <c r="G24" t="s">
        <v>1613</v>
      </c>
    </row>
    <row r="25" spans="1:7">
      <c r="A25" t="s">
        <v>1635</v>
      </c>
      <c r="B25" t="s">
        <v>169</v>
      </c>
      <c r="C25" s="2">
        <v>46197</v>
      </c>
      <c r="D25" s="3">
        <v>0.43958333333333333</v>
      </c>
      <c r="E25" s="3">
        <v>0.76666666666666672</v>
      </c>
      <c r="F25" s="4">
        <f>IF(OR(D25="",E25=""),"",E25-D25)</f>
        <v>0.32708333333333339</v>
      </c>
      <c r="G25" t="s">
        <v>1615</v>
      </c>
    </row>
    <row r="26" spans="1:7">
      <c r="A26" t="s">
        <v>1636</v>
      </c>
      <c r="B26" t="s">
        <v>174</v>
      </c>
      <c r="C26" s="2">
        <v>46198</v>
      </c>
      <c r="D26" s="3">
        <v>0.40277777777777779</v>
      </c>
      <c r="E26" s="3">
        <v>0.77430555555555558</v>
      </c>
      <c r="F26" s="4">
        <f>IF(OR(D26="",E26=""),"",E26-D26)</f>
        <v>0.37152777777777779</v>
      </c>
      <c r="G26" t="s">
        <v>1610</v>
      </c>
    </row>
    <row r="27" spans="1:7">
      <c r="A27" t="s">
        <v>1637</v>
      </c>
      <c r="B27" t="s">
        <v>178</v>
      </c>
      <c r="C27" s="2">
        <v>46199</v>
      </c>
      <c r="D27" s="3">
        <v>0.37638888888888888</v>
      </c>
      <c r="E27" s="3">
        <v>0.78194444444444444</v>
      </c>
      <c r="F27" s="4">
        <f>IF(OR(D27="",E27=""),"",E27-D27)</f>
        <v>0.40555555555555556</v>
      </c>
      <c r="G27" t="s">
        <v>1610</v>
      </c>
    </row>
    <row r="28" spans="1:7">
      <c r="A28" t="s">
        <v>1638</v>
      </c>
      <c r="B28" t="s">
        <v>181</v>
      </c>
      <c r="C28" s="2">
        <v>46200</v>
      </c>
      <c r="D28" s="3">
        <v>0.38124999999999998</v>
      </c>
      <c r="E28" s="3">
        <v>0.7895833333333333</v>
      </c>
      <c r="F28" s="4">
        <f>IF(OR(D28="",E28=""),"",E28-D28)</f>
        <v>0.40833333333333333</v>
      </c>
      <c r="G28" t="s">
        <v>1610</v>
      </c>
    </row>
    <row r="29" spans="1:7">
      <c r="A29" t="s">
        <v>1639</v>
      </c>
      <c r="B29" t="s">
        <v>184</v>
      </c>
      <c r="C29" s="2">
        <v>46201</v>
      </c>
      <c r="D29" s="3"/>
      <c r="E29" s="3"/>
      <c r="F29" s="4"/>
      <c r="G29" t="s">
        <v>1613</v>
      </c>
    </row>
    <row r="30" spans="1:7">
      <c r="A30" t="s">
        <v>1640</v>
      </c>
      <c r="B30" t="s">
        <v>187</v>
      </c>
      <c r="C30" s="2">
        <v>46202</v>
      </c>
      <c r="D30" s="3">
        <v>0.43263888888888891</v>
      </c>
      <c r="E30" s="3">
        <v>0.7631944444444444</v>
      </c>
      <c r="F30" s="4">
        <f>IF(OR(D30="",E30=""),"",E30-D30)</f>
        <v>0.33055555555555549</v>
      </c>
      <c r="G30" t="s">
        <v>1615</v>
      </c>
    </row>
    <row r="31" spans="1:7">
      <c r="A31" t="s">
        <v>1641</v>
      </c>
      <c r="B31" t="s">
        <v>190</v>
      </c>
      <c r="C31" s="2">
        <v>46203</v>
      </c>
      <c r="D31" s="3">
        <v>0.39583333333333331</v>
      </c>
      <c r="E31" s="3">
        <v>0.77083333333333337</v>
      </c>
      <c r="F31" s="4">
        <f>IF(OR(D31="",E31=""),"",E31-D31)</f>
        <v>0.37500000000000006</v>
      </c>
      <c r="G31" t="s">
        <v>1610</v>
      </c>
    </row>
    <row r="32" spans="1:7">
      <c r="A32" t="s">
        <v>1642</v>
      </c>
      <c r="B32" t="s">
        <v>193</v>
      </c>
      <c r="C32" s="2">
        <v>46174</v>
      </c>
      <c r="D32" s="3">
        <v>0.40069444444444446</v>
      </c>
      <c r="E32" s="3">
        <v>0.77847222222222223</v>
      </c>
      <c r="F32" s="4">
        <f>IF(OR(D32="",E32=""),"",E32-D32)</f>
        <v>0.37777777777777777</v>
      </c>
      <c r="G32" t="s">
        <v>1610</v>
      </c>
    </row>
    <row r="33" spans="1:7">
      <c r="A33" t="s">
        <v>1643</v>
      </c>
      <c r="B33" t="s">
        <v>196</v>
      </c>
      <c r="C33" s="2">
        <v>46175</v>
      </c>
      <c r="D33" s="3">
        <v>0.40555555555555556</v>
      </c>
      <c r="E33" s="3">
        <v>0.78611111111111109</v>
      </c>
      <c r="F33" s="4">
        <f>IF(OR(D33="",E33=""),"",E33-D33)</f>
        <v>0.38055555555555554</v>
      </c>
      <c r="G33" t="s">
        <v>1610</v>
      </c>
    </row>
    <row r="34" spans="1:7">
      <c r="A34" t="s">
        <v>1644</v>
      </c>
      <c r="B34" t="s">
        <v>199</v>
      </c>
      <c r="C34" s="2">
        <v>46176</v>
      </c>
      <c r="D34" s="3"/>
      <c r="E34" s="3"/>
      <c r="F34" s="4"/>
      <c r="G34" t="s">
        <v>1613</v>
      </c>
    </row>
    <row r="35" spans="1:7">
      <c r="A35" t="s">
        <v>1645</v>
      </c>
      <c r="B35" t="s">
        <v>202</v>
      </c>
      <c r="C35" s="2">
        <v>46177</v>
      </c>
      <c r="D35" s="3">
        <v>0.42569444444444443</v>
      </c>
      <c r="E35" s="3">
        <v>0.75972222222222219</v>
      </c>
      <c r="F35" s="4">
        <f>IF(OR(D35="",E35=""),"",E35-D35)</f>
        <v>0.33402777777777776</v>
      </c>
      <c r="G35" t="s">
        <v>1615</v>
      </c>
    </row>
    <row r="36" spans="1:7">
      <c r="A36" t="s">
        <v>1646</v>
      </c>
      <c r="B36" t="s">
        <v>205</v>
      </c>
      <c r="C36" s="2">
        <v>46178</v>
      </c>
      <c r="D36" s="3">
        <v>0.3888888888888889</v>
      </c>
      <c r="E36" s="3">
        <v>0.76736111111111116</v>
      </c>
      <c r="F36" s="4">
        <f>IF(OR(D36="",E36=""),"",E36-D36)</f>
        <v>0.37847222222222227</v>
      </c>
      <c r="G36" t="s">
        <v>1610</v>
      </c>
    </row>
    <row r="37" spans="1:7">
      <c r="A37" t="s">
        <v>1647</v>
      </c>
      <c r="B37" t="s">
        <v>208</v>
      </c>
      <c r="C37" s="2">
        <v>46179</v>
      </c>
      <c r="D37" s="3">
        <v>0.39374999999999999</v>
      </c>
      <c r="E37" s="3">
        <v>0.77500000000000002</v>
      </c>
      <c r="F37" s="4">
        <f>IF(OR(D37="",E37=""),"",E37-D37)</f>
        <v>0.38125000000000003</v>
      </c>
      <c r="G37" t="s">
        <v>1610</v>
      </c>
    </row>
    <row r="38" spans="1:7">
      <c r="A38" t="s">
        <v>1648</v>
      </c>
      <c r="B38" t="s">
        <v>211</v>
      </c>
      <c r="C38" s="2">
        <v>46180</v>
      </c>
      <c r="D38" s="3">
        <v>0.39861111111111114</v>
      </c>
      <c r="E38" s="3">
        <v>0.78263888888888888</v>
      </c>
      <c r="F38" s="4">
        <f>IF(OR(D38="",E38=""),"",E38-D38)</f>
        <v>0.38402777777777775</v>
      </c>
      <c r="G38" t="s">
        <v>1610</v>
      </c>
    </row>
    <row r="39" spans="1:7">
      <c r="A39" t="s">
        <v>1649</v>
      </c>
      <c r="B39" t="s">
        <v>214</v>
      </c>
      <c r="C39" s="2">
        <v>46181</v>
      </c>
      <c r="D39" s="3"/>
      <c r="E39" s="3"/>
      <c r="F39" s="4"/>
      <c r="G39" t="s">
        <v>1613</v>
      </c>
    </row>
    <row r="40" spans="1:7">
      <c r="A40" t="s">
        <v>1650</v>
      </c>
      <c r="B40" t="s">
        <v>217</v>
      </c>
      <c r="C40" s="2">
        <v>46182</v>
      </c>
      <c r="D40" s="3">
        <v>0.41875000000000001</v>
      </c>
      <c r="E40" s="3">
        <v>0.75624999999999998</v>
      </c>
      <c r="F40" s="4">
        <f>IF(OR(D40="",E40=""),"",E40-D40)</f>
        <v>0.33749999999999997</v>
      </c>
      <c r="G40" t="s">
        <v>1615</v>
      </c>
    </row>
    <row r="41" spans="1:7">
      <c r="A41" t="s">
        <v>1651</v>
      </c>
      <c r="B41" t="s">
        <v>220</v>
      </c>
      <c r="C41" s="2">
        <v>46183</v>
      </c>
      <c r="D41" s="3">
        <v>0.38194444444444442</v>
      </c>
      <c r="E41" s="3">
        <v>0.76388888888888884</v>
      </c>
      <c r="F41" s="4">
        <f>IF(OR(D41="",E41=""),"",E41-D41)</f>
        <v>0.38194444444444442</v>
      </c>
      <c r="G41" t="s">
        <v>1610</v>
      </c>
    </row>
    <row r="42" spans="1:7">
      <c r="A42" t="s">
        <v>1652</v>
      </c>
      <c r="B42" t="s">
        <v>223</v>
      </c>
      <c r="C42" s="2">
        <v>46184</v>
      </c>
      <c r="D42" s="3">
        <v>0.38680555555555557</v>
      </c>
      <c r="E42" s="3">
        <v>0.77152777777777781</v>
      </c>
      <c r="F42" s="4">
        <f>IF(OR(D42="",E42=""),"",E42-D42)</f>
        <v>0.38472222222222224</v>
      </c>
      <c r="G42" t="s">
        <v>1610</v>
      </c>
    </row>
    <row r="43" spans="1:7">
      <c r="A43" t="s">
        <v>1653</v>
      </c>
      <c r="B43" t="s">
        <v>226</v>
      </c>
      <c r="C43" s="2">
        <v>46185</v>
      </c>
      <c r="D43" s="3">
        <v>0.39166666666666666</v>
      </c>
      <c r="E43" s="3">
        <v>0.77916666666666667</v>
      </c>
      <c r="F43" s="4">
        <f>IF(OR(D43="",E43=""),"",E43-D43)</f>
        <v>0.38750000000000001</v>
      </c>
      <c r="G43" t="s">
        <v>1610</v>
      </c>
    </row>
    <row r="44" spans="1:7">
      <c r="A44" t="s">
        <v>1654</v>
      </c>
      <c r="B44" t="s">
        <v>229</v>
      </c>
      <c r="C44" s="2">
        <v>46186</v>
      </c>
      <c r="D44" s="3"/>
      <c r="E44" s="3"/>
      <c r="F44" s="4"/>
      <c r="G44" t="s">
        <v>1613</v>
      </c>
    </row>
    <row r="45" spans="1:7">
      <c r="A45" t="s">
        <v>1655</v>
      </c>
      <c r="B45" t="s">
        <v>232</v>
      </c>
      <c r="C45" s="2">
        <v>46187</v>
      </c>
      <c r="D45" s="3">
        <v>0.44305555555555554</v>
      </c>
      <c r="E45" s="3">
        <v>0.75277777777777777</v>
      </c>
      <c r="F45" s="4">
        <f>IF(OR(D45="",E45=""),"",E45-D45)</f>
        <v>0.30972222222222223</v>
      </c>
      <c r="G45" t="s">
        <v>1615</v>
      </c>
    </row>
    <row r="46" spans="1:7">
      <c r="A46" t="s">
        <v>1656</v>
      </c>
      <c r="B46" t="s">
        <v>235</v>
      </c>
      <c r="C46" s="2">
        <v>46188</v>
      </c>
      <c r="D46" s="3">
        <v>0.375</v>
      </c>
      <c r="E46" s="3">
        <v>0.76041666666666663</v>
      </c>
      <c r="F46" s="4">
        <f>IF(OR(D46="",E46=""),"",E46-D46)</f>
        <v>0.38541666666666663</v>
      </c>
      <c r="G46" t="s">
        <v>1610</v>
      </c>
    </row>
    <row r="47" spans="1:7">
      <c r="A47" t="s">
        <v>1657</v>
      </c>
      <c r="B47" t="s">
        <v>238</v>
      </c>
      <c r="C47" s="2">
        <v>46189</v>
      </c>
      <c r="D47" s="3">
        <v>0.37986111111111109</v>
      </c>
      <c r="E47" s="3">
        <v>0.7680555555555556</v>
      </c>
      <c r="F47" s="4">
        <f>IF(OR(D47="",E47=""),"",E47-D47)</f>
        <v>0.38819444444444451</v>
      </c>
      <c r="G47" t="s">
        <v>1610</v>
      </c>
    </row>
    <row r="48" spans="1:7">
      <c r="A48" t="s">
        <v>1658</v>
      </c>
      <c r="B48" t="s">
        <v>241</v>
      </c>
      <c r="C48" s="2">
        <v>46190</v>
      </c>
      <c r="D48" s="3">
        <v>0.38472222222222224</v>
      </c>
      <c r="E48" s="3">
        <v>0.77569444444444446</v>
      </c>
      <c r="F48" s="4">
        <f>IF(OR(D48="",E48=""),"",E48-D48)</f>
        <v>0.39097222222222222</v>
      </c>
      <c r="G48" t="s">
        <v>1610</v>
      </c>
    </row>
    <row r="49" spans="1:7">
      <c r="A49" t="s">
        <v>1659</v>
      </c>
      <c r="B49" t="s">
        <v>244</v>
      </c>
      <c r="C49" s="2">
        <v>46191</v>
      </c>
      <c r="D49" s="3"/>
      <c r="E49" s="3"/>
      <c r="F49" s="4"/>
      <c r="G49" t="s">
        <v>1613</v>
      </c>
    </row>
    <row r="50" spans="1:7">
      <c r="A50" t="s">
        <v>1660</v>
      </c>
      <c r="B50" t="s">
        <v>247</v>
      </c>
      <c r="C50" s="2">
        <v>46192</v>
      </c>
      <c r="D50" s="3">
        <v>0.43611111111111112</v>
      </c>
      <c r="E50" s="3">
        <v>0.79097222222222219</v>
      </c>
      <c r="F50" s="4">
        <f>IF(OR(D50="",E50=""),"",E50-D50)</f>
        <v>0.35486111111111107</v>
      </c>
      <c r="G50" t="s">
        <v>1615</v>
      </c>
    </row>
    <row r="51" spans="1:7">
      <c r="A51" t="s">
        <v>1661</v>
      </c>
      <c r="B51" t="s">
        <v>250</v>
      </c>
      <c r="C51" s="2">
        <v>46193</v>
      </c>
      <c r="D51" s="3">
        <v>0.39930555555555558</v>
      </c>
      <c r="E51" s="3">
        <v>0.75694444444444442</v>
      </c>
      <c r="F51" s="4">
        <f>IF(OR(D51="",E51=""),"",E51-D51)</f>
        <v>0.35763888888888884</v>
      </c>
      <c r="G51" t="s">
        <v>1610</v>
      </c>
    </row>
    <row r="52" spans="1:7">
      <c r="A52" t="s">
        <v>1662</v>
      </c>
      <c r="B52" t="s">
        <v>253</v>
      </c>
      <c r="C52" s="2">
        <v>46194</v>
      </c>
      <c r="D52" s="3">
        <v>0.40416666666666667</v>
      </c>
      <c r="E52" s="3">
        <v>0.76458333333333328</v>
      </c>
      <c r="F52" s="4">
        <f>IF(OR(D52="",E52=""),"",E52-D52)</f>
        <v>0.36041666666666661</v>
      </c>
      <c r="G52" t="s">
        <v>1610</v>
      </c>
    </row>
    <row r="53" spans="1:7">
      <c r="A53" t="s">
        <v>1663</v>
      </c>
      <c r="B53" t="s">
        <v>256</v>
      </c>
      <c r="C53" s="2">
        <v>46195</v>
      </c>
      <c r="D53" s="3">
        <v>0.37777777777777777</v>
      </c>
      <c r="E53" s="3">
        <v>0.77222222222222225</v>
      </c>
      <c r="F53" s="4">
        <f>IF(OR(D53="",E53=""),"",E53-D53)</f>
        <v>0.39444444444444449</v>
      </c>
      <c r="G53" t="s">
        <v>1610</v>
      </c>
    </row>
    <row r="54" spans="1:7">
      <c r="A54" t="s">
        <v>1664</v>
      </c>
      <c r="B54" t="s">
        <v>259</v>
      </c>
      <c r="C54" s="2">
        <v>46196</v>
      </c>
      <c r="D54" s="3"/>
      <c r="E54" s="3"/>
      <c r="F54" s="4"/>
      <c r="G54" t="s">
        <v>1613</v>
      </c>
    </row>
    <row r="55" spans="1:7">
      <c r="A55" t="s">
        <v>1665</v>
      </c>
      <c r="B55" t="s">
        <v>262</v>
      </c>
      <c r="C55" s="2">
        <v>46197</v>
      </c>
      <c r="D55" s="3">
        <v>0.42916666666666664</v>
      </c>
      <c r="E55" s="3">
        <v>0.78749999999999998</v>
      </c>
      <c r="F55" s="4">
        <f>IF(OR(D55="",E55=""),"",E55-D55)</f>
        <v>0.35833333333333334</v>
      </c>
      <c r="G55" t="s">
        <v>1615</v>
      </c>
    </row>
    <row r="56" spans="1:7">
      <c r="A56" t="s">
        <v>1666</v>
      </c>
      <c r="B56" t="s">
        <v>265</v>
      </c>
      <c r="C56" s="2">
        <v>46198</v>
      </c>
      <c r="D56" s="3">
        <v>0.3923611111111111</v>
      </c>
      <c r="E56" s="3">
        <v>0.75347222222222221</v>
      </c>
      <c r="F56" s="4">
        <f>IF(OR(D56="",E56=""),"",E56-D56)</f>
        <v>0.3611111111111111</v>
      </c>
      <c r="G56" t="s">
        <v>1610</v>
      </c>
    </row>
    <row r="57" spans="1:7">
      <c r="A57" t="s">
        <v>1667</v>
      </c>
      <c r="B57" t="s">
        <v>268</v>
      </c>
      <c r="C57" s="2">
        <v>46199</v>
      </c>
      <c r="D57" s="3">
        <v>0.3972222222222222</v>
      </c>
      <c r="E57" s="3">
        <v>0.76111111111111107</v>
      </c>
      <c r="F57" s="4">
        <f>IF(OR(D57="",E57=""),"",E57-D57)</f>
        <v>0.36388888888888887</v>
      </c>
      <c r="G57" t="s">
        <v>1610</v>
      </c>
    </row>
    <row r="58" spans="1:7">
      <c r="A58" t="s">
        <v>1668</v>
      </c>
      <c r="B58" t="s">
        <v>271</v>
      </c>
      <c r="C58" s="2">
        <v>46200</v>
      </c>
      <c r="D58" s="3">
        <v>0.40208333333333335</v>
      </c>
      <c r="E58" s="3">
        <v>0.76875000000000004</v>
      </c>
      <c r="F58" s="4">
        <f>IF(OR(D58="",E58=""),"",E58-D58)</f>
        <v>0.3666666666666667</v>
      </c>
      <c r="G58" t="s">
        <v>1610</v>
      </c>
    </row>
    <row r="59" spans="1:7">
      <c r="A59" t="s">
        <v>1669</v>
      </c>
      <c r="B59" t="s">
        <v>274</v>
      </c>
      <c r="C59" s="2">
        <v>46201</v>
      </c>
      <c r="D59" s="3"/>
      <c r="E59" s="3"/>
      <c r="F59" s="4"/>
      <c r="G59" t="s">
        <v>1613</v>
      </c>
    </row>
    <row r="60" spans="1:7">
      <c r="A60" t="s">
        <v>1670</v>
      </c>
      <c r="B60" t="s">
        <v>277</v>
      </c>
      <c r="C60" s="2">
        <v>46202</v>
      </c>
      <c r="D60" s="3">
        <v>0.42222222222222222</v>
      </c>
      <c r="E60" s="3">
        <v>0.78402777777777777</v>
      </c>
      <c r="F60" s="4">
        <f>IF(OR(D60="",E60=""),"",E60-D60)</f>
        <v>0.36180555555555555</v>
      </c>
      <c r="G60" t="s">
        <v>1615</v>
      </c>
    </row>
    <row r="61" spans="1:7">
      <c r="A61" t="s">
        <v>1671</v>
      </c>
      <c r="B61" t="s">
        <v>280</v>
      </c>
      <c r="C61" s="2">
        <v>46203</v>
      </c>
      <c r="D61" s="3">
        <v>0.38541666666666669</v>
      </c>
      <c r="E61" s="3">
        <v>0.75</v>
      </c>
      <c r="F61" s="4">
        <f>IF(OR(D61="",E61=""),"",E61-D61)</f>
        <v>0.36458333333333331</v>
      </c>
      <c r="G61" t="s">
        <v>1610</v>
      </c>
    </row>
    <row r="62" spans="1:7">
      <c r="A62" t="s">
        <v>1672</v>
      </c>
      <c r="B62" t="s">
        <v>283</v>
      </c>
      <c r="C62" s="2">
        <v>46174</v>
      </c>
      <c r="D62" s="3">
        <v>0.39027777777777778</v>
      </c>
      <c r="E62" s="3">
        <v>0.75763888888888886</v>
      </c>
      <c r="F62" s="4">
        <f>IF(OR(D62="",E62=""),"",E62-D62)</f>
        <v>0.36736111111111108</v>
      </c>
      <c r="G62" t="s">
        <v>1610</v>
      </c>
    </row>
    <row r="63" spans="1:7">
      <c r="A63" t="s">
        <v>1673</v>
      </c>
      <c r="B63" t="s">
        <v>286</v>
      </c>
      <c r="C63" s="2">
        <v>46175</v>
      </c>
      <c r="D63" s="3">
        <v>0.39513888888888887</v>
      </c>
      <c r="E63" s="3">
        <v>0.76527777777777772</v>
      </c>
      <c r="F63" s="4">
        <f>IF(OR(D63="",E63=""),"",E63-D63)</f>
        <v>0.37013888888888885</v>
      </c>
      <c r="G63" t="s">
        <v>1610</v>
      </c>
    </row>
    <row r="64" spans="1:7">
      <c r="A64" t="s">
        <v>1674</v>
      </c>
      <c r="B64" t="s">
        <v>289</v>
      </c>
      <c r="C64" s="2">
        <v>46176</v>
      </c>
      <c r="D64" s="3"/>
      <c r="E64" s="3"/>
      <c r="F64" s="4"/>
      <c r="G64" t="s">
        <v>1613</v>
      </c>
    </row>
    <row r="65" spans="1:7">
      <c r="A65" t="s">
        <v>1675</v>
      </c>
      <c r="B65" t="s">
        <v>292</v>
      </c>
      <c r="C65" s="2">
        <v>46177</v>
      </c>
      <c r="D65" s="3">
        <v>0.4465277777777778</v>
      </c>
      <c r="E65" s="3">
        <v>0.78055555555555556</v>
      </c>
      <c r="F65" s="4">
        <f>IF(OR(D65="",E65=""),"",E65-D65)</f>
        <v>0.33402777777777776</v>
      </c>
      <c r="G65" t="s">
        <v>1615</v>
      </c>
    </row>
    <row r="66" spans="1:7">
      <c r="A66" t="s">
        <v>1676</v>
      </c>
      <c r="B66" t="s">
        <v>295</v>
      </c>
      <c r="C66" s="2">
        <v>46178</v>
      </c>
      <c r="D66" s="3">
        <v>0.37847222222222221</v>
      </c>
      <c r="E66" s="3">
        <v>0.78819444444444442</v>
      </c>
      <c r="F66" s="4">
        <f>IF(OR(D66="",E66=""),"",E66-D66)</f>
        <v>0.40972222222222221</v>
      </c>
      <c r="G66" t="s">
        <v>1610</v>
      </c>
    </row>
    <row r="67" spans="1:7">
      <c r="A67" t="s">
        <v>1677</v>
      </c>
      <c r="B67" t="s">
        <v>298</v>
      </c>
      <c r="C67" s="2">
        <v>46179</v>
      </c>
      <c r="D67" s="3">
        <v>0.38333333333333336</v>
      </c>
      <c r="E67" s="3">
        <v>0.75416666666666665</v>
      </c>
      <c r="F67" s="4">
        <f>IF(OR(D67="",E67=""),"",E67-D67)</f>
        <v>0.37083333333333329</v>
      </c>
      <c r="G67" t="s">
        <v>1610</v>
      </c>
    </row>
    <row r="68" spans="1:7">
      <c r="A68" t="s">
        <v>1678</v>
      </c>
      <c r="B68" t="s">
        <v>301</v>
      </c>
      <c r="C68" s="2">
        <v>46180</v>
      </c>
      <c r="D68" s="3">
        <v>0.38819444444444445</v>
      </c>
      <c r="E68" s="3">
        <v>0.76180555555555551</v>
      </c>
      <c r="F68" s="4">
        <f>IF(OR(D68="",E68=""),"",E68-D68)</f>
        <v>0.37361111111111106</v>
      </c>
      <c r="G68" t="s">
        <v>1610</v>
      </c>
    </row>
    <row r="69" spans="1:7">
      <c r="A69" t="s">
        <v>1679</v>
      </c>
      <c r="B69" t="s">
        <v>304</v>
      </c>
      <c r="C69" s="2">
        <v>46181</v>
      </c>
      <c r="D69" s="3"/>
      <c r="E69" s="3"/>
      <c r="F69" s="4"/>
      <c r="G69" t="s">
        <v>1613</v>
      </c>
    </row>
    <row r="70" spans="1:7">
      <c r="A70" t="s">
        <v>1680</v>
      </c>
      <c r="B70" t="s">
        <v>307</v>
      </c>
      <c r="C70" s="2">
        <v>46182</v>
      </c>
      <c r="D70" s="3">
        <v>0.43958333333333333</v>
      </c>
      <c r="E70" s="3">
        <v>0.77708333333333335</v>
      </c>
      <c r="F70" s="4">
        <f>IF(OR(D70="",E70=""),"",E70-D70)</f>
        <v>0.33750000000000002</v>
      </c>
      <c r="G70" t="s">
        <v>1615</v>
      </c>
    </row>
    <row r="71" spans="1:7">
      <c r="A71" t="s">
        <v>1681</v>
      </c>
      <c r="B71" t="s">
        <v>310</v>
      </c>
      <c r="C71" s="2">
        <v>46183</v>
      </c>
      <c r="D71" s="3">
        <v>0.40277777777777779</v>
      </c>
      <c r="E71" s="3">
        <v>0.78472222222222221</v>
      </c>
      <c r="F71" s="4">
        <f>IF(OR(D71="",E71=""),"",E71-D71)</f>
        <v>0.38194444444444442</v>
      </c>
      <c r="G71" t="s">
        <v>1610</v>
      </c>
    </row>
    <row r="72" spans="1:7">
      <c r="A72" t="s">
        <v>1682</v>
      </c>
      <c r="B72" t="s">
        <v>313</v>
      </c>
      <c r="C72" s="2">
        <v>46184</v>
      </c>
      <c r="D72" s="3">
        <v>0.37638888888888888</v>
      </c>
      <c r="E72" s="3">
        <v>0.75069444444444444</v>
      </c>
      <c r="F72" s="4">
        <f>IF(OR(D72="",E72=""),"",E72-D72)</f>
        <v>0.37430555555555556</v>
      </c>
      <c r="G72" t="s">
        <v>1610</v>
      </c>
    </row>
    <row r="73" spans="1:7">
      <c r="A73" t="s">
        <v>1683</v>
      </c>
      <c r="B73" t="s">
        <v>316</v>
      </c>
      <c r="C73" s="2">
        <v>46185</v>
      </c>
      <c r="D73" s="3">
        <v>0.38124999999999998</v>
      </c>
      <c r="E73" s="3">
        <v>0.7583333333333333</v>
      </c>
      <c r="F73" s="4">
        <f>IF(OR(D73="",E73=""),"",E73-D73)</f>
        <v>0.37708333333333333</v>
      </c>
      <c r="G73" t="s">
        <v>1610</v>
      </c>
    </row>
    <row r="74" spans="1:7">
      <c r="A74" t="s">
        <v>1684</v>
      </c>
      <c r="B74" t="s">
        <v>319</v>
      </c>
      <c r="C74" s="2">
        <v>46186</v>
      </c>
      <c r="D74" s="3"/>
      <c r="E74" s="3"/>
      <c r="F74" s="4"/>
      <c r="G74" t="s">
        <v>1613</v>
      </c>
    </row>
    <row r="75" spans="1:7">
      <c r="A75" t="s">
        <v>1685</v>
      </c>
      <c r="B75" t="s">
        <v>322</v>
      </c>
      <c r="C75" s="2">
        <v>46187</v>
      </c>
      <c r="D75" s="3">
        <v>0.43263888888888891</v>
      </c>
      <c r="E75" s="3">
        <v>0.77361111111111114</v>
      </c>
      <c r="F75" s="4">
        <f>IF(OR(D75="",E75=""),"",E75-D75)</f>
        <v>0.34097222222222223</v>
      </c>
      <c r="G75" t="s">
        <v>1615</v>
      </c>
    </row>
    <row r="76" spans="1:7">
      <c r="A76" t="s">
        <v>1686</v>
      </c>
      <c r="B76" t="s">
        <v>325</v>
      </c>
      <c r="C76" s="2">
        <v>46188</v>
      </c>
      <c r="D76" s="3">
        <v>0.39583333333333331</v>
      </c>
      <c r="E76" s="3">
        <v>0.78125</v>
      </c>
      <c r="F76" s="4">
        <f>IF(OR(D76="",E76=""),"",E76-D76)</f>
        <v>0.38541666666666669</v>
      </c>
      <c r="G76" t="s">
        <v>1610</v>
      </c>
    </row>
    <row r="77" spans="1:7">
      <c r="A77" t="s">
        <v>1687</v>
      </c>
      <c r="B77" t="s">
        <v>328</v>
      </c>
      <c r="C77" s="2">
        <v>46189</v>
      </c>
      <c r="D77" s="3">
        <v>0.40069444444444446</v>
      </c>
      <c r="E77" s="3">
        <v>0.78888888888888886</v>
      </c>
      <c r="F77" s="4">
        <f>IF(OR(D77="",E77=""),"",E77-D77)</f>
        <v>0.3881944444444444</v>
      </c>
      <c r="G77" t="s">
        <v>1610</v>
      </c>
    </row>
    <row r="78" spans="1:7">
      <c r="A78" t="s">
        <v>1688</v>
      </c>
      <c r="B78" t="s">
        <v>331</v>
      </c>
      <c r="C78" s="2">
        <v>46190</v>
      </c>
      <c r="D78" s="3">
        <v>0.40555555555555556</v>
      </c>
      <c r="E78" s="3">
        <v>0.75486111111111109</v>
      </c>
      <c r="F78" s="4">
        <f>IF(OR(D78="",E78=""),"",E78-D78)</f>
        <v>0.34930555555555554</v>
      </c>
      <c r="G78" t="s">
        <v>1610</v>
      </c>
    </row>
    <row r="79" spans="1:7">
      <c r="A79" t="s">
        <v>1689</v>
      </c>
      <c r="B79" t="s">
        <v>334</v>
      </c>
      <c r="C79" s="2">
        <v>46191</v>
      </c>
      <c r="D79" s="3"/>
      <c r="E79" s="3"/>
      <c r="F79" s="4"/>
      <c r="G79" t="s">
        <v>1613</v>
      </c>
    </row>
    <row r="80" spans="1:7">
      <c r="A80" t="s">
        <v>1690</v>
      </c>
      <c r="B80" t="s">
        <v>337</v>
      </c>
      <c r="C80" s="2">
        <v>46192</v>
      </c>
      <c r="D80" s="3">
        <v>0.42569444444444443</v>
      </c>
      <c r="E80" s="3">
        <v>0.77013888888888893</v>
      </c>
      <c r="F80" s="4">
        <f>IF(OR(D80="",E80=""),"",E80-D80)</f>
        <v>0.3444444444444445</v>
      </c>
      <c r="G80" t="s">
        <v>1615</v>
      </c>
    </row>
    <row r="81" spans="1:7">
      <c r="A81" t="s">
        <v>1691</v>
      </c>
      <c r="B81" t="s">
        <v>340</v>
      </c>
      <c r="C81" s="2">
        <v>46193</v>
      </c>
      <c r="D81" s="3">
        <v>0.3888888888888889</v>
      </c>
      <c r="E81" s="3">
        <v>0.77777777777777779</v>
      </c>
      <c r="F81" s="4">
        <f>IF(OR(D81="",E81=""),"",E81-D81)</f>
        <v>0.3888888888888889</v>
      </c>
      <c r="G81" t="s">
        <v>1610</v>
      </c>
    </row>
    <row r="82" spans="1:7">
      <c r="A82" t="s">
        <v>1692</v>
      </c>
      <c r="B82" t="s">
        <v>343</v>
      </c>
      <c r="C82" s="2">
        <v>46194</v>
      </c>
      <c r="D82" s="3">
        <v>0.39374999999999999</v>
      </c>
      <c r="E82" s="3">
        <v>0.78541666666666665</v>
      </c>
      <c r="F82" s="4">
        <f>IF(OR(D82="",E82=""),"",E82-D82)</f>
        <v>0.39166666666666666</v>
      </c>
      <c r="G82" t="s">
        <v>1610</v>
      </c>
    </row>
    <row r="83" spans="1:7">
      <c r="A83" t="s">
        <v>1693</v>
      </c>
      <c r="B83" t="s">
        <v>346</v>
      </c>
      <c r="C83" s="2">
        <v>46195</v>
      </c>
      <c r="D83" s="3">
        <v>0.39861111111111114</v>
      </c>
      <c r="E83" s="3">
        <v>0.75138888888888888</v>
      </c>
      <c r="F83" s="4">
        <f>IF(OR(D83="",E83=""),"",E83-D83)</f>
        <v>0.35277777777777775</v>
      </c>
      <c r="G83" t="s">
        <v>1610</v>
      </c>
    </row>
    <row r="84" spans="1:7">
      <c r="A84" t="s">
        <v>1694</v>
      </c>
      <c r="B84" t="s">
        <v>349</v>
      </c>
      <c r="C84" s="2">
        <v>46196</v>
      </c>
      <c r="D84" s="3"/>
      <c r="E84" s="3"/>
      <c r="F84" s="4"/>
      <c r="G84" t="s">
        <v>1613</v>
      </c>
    </row>
    <row r="85" spans="1:7">
      <c r="A85" t="s">
        <v>1695</v>
      </c>
      <c r="B85" t="s">
        <v>352</v>
      </c>
      <c r="C85" s="2">
        <v>46197</v>
      </c>
      <c r="D85" s="3">
        <v>0.41875000000000001</v>
      </c>
      <c r="E85" s="3">
        <v>0.76666666666666672</v>
      </c>
      <c r="F85" s="4">
        <f>IF(OR(D85="",E85=""),"",E85-D85)</f>
        <v>0.34791666666666671</v>
      </c>
      <c r="G85" t="s">
        <v>1615</v>
      </c>
    </row>
    <row r="86" spans="1:7">
      <c r="A86" t="s">
        <v>1696</v>
      </c>
      <c r="B86" t="s">
        <v>355</v>
      </c>
      <c r="C86" s="2">
        <v>46198</v>
      </c>
      <c r="D86" s="3">
        <v>0.38194444444444442</v>
      </c>
      <c r="E86" s="3">
        <v>0.77430555555555558</v>
      </c>
      <c r="F86" s="4">
        <f>IF(OR(D86="",E86=""),"",E86-D86)</f>
        <v>0.39236111111111116</v>
      </c>
      <c r="G86" t="s">
        <v>1610</v>
      </c>
    </row>
    <row r="87" spans="1:7">
      <c r="A87" t="s">
        <v>1697</v>
      </c>
      <c r="B87" t="s">
        <v>358</v>
      </c>
      <c r="C87" s="2">
        <v>46199</v>
      </c>
      <c r="D87" s="3">
        <v>0.38680555555555557</v>
      </c>
      <c r="E87" s="3">
        <v>0.78194444444444444</v>
      </c>
      <c r="F87" s="4">
        <f>IF(OR(D87="",E87=""),"",E87-D87)</f>
        <v>0.39513888888888887</v>
      </c>
      <c r="G87" t="s">
        <v>1610</v>
      </c>
    </row>
    <row r="88" spans="1:7">
      <c r="A88" t="s">
        <v>1698</v>
      </c>
      <c r="B88" t="s">
        <v>361</v>
      </c>
      <c r="C88" s="2">
        <v>46200</v>
      </c>
      <c r="D88" s="3">
        <v>0.39166666666666666</v>
      </c>
      <c r="E88" s="3">
        <v>0.7895833333333333</v>
      </c>
      <c r="F88" s="4">
        <f>IF(OR(D88="",E88=""),"",E88-D88)</f>
        <v>0.39791666666666664</v>
      </c>
      <c r="G88" t="s">
        <v>1610</v>
      </c>
    </row>
    <row r="89" spans="1:7">
      <c r="A89" t="s">
        <v>1699</v>
      </c>
      <c r="B89" t="s">
        <v>364</v>
      </c>
      <c r="C89" s="2">
        <v>46201</v>
      </c>
      <c r="D89" s="3"/>
      <c r="E89" s="3"/>
      <c r="F89" s="4"/>
      <c r="G89" t="s">
        <v>1613</v>
      </c>
    </row>
    <row r="90" spans="1:7">
      <c r="A90" t="s">
        <v>1700</v>
      </c>
      <c r="B90" t="s">
        <v>367</v>
      </c>
      <c r="C90" s="2">
        <v>46202</v>
      </c>
      <c r="D90" s="3">
        <v>0.44305555555555554</v>
      </c>
      <c r="E90" s="3">
        <v>0.7631944444444444</v>
      </c>
      <c r="F90" s="4">
        <f>IF(OR(D90="",E90=""),"",E90-D90)</f>
        <v>0.32013888888888886</v>
      </c>
      <c r="G90" t="s">
        <v>1615</v>
      </c>
    </row>
    <row r="91" spans="1:7">
      <c r="A91" t="s">
        <v>1701</v>
      </c>
      <c r="B91" t="s">
        <v>370</v>
      </c>
      <c r="C91" s="2">
        <v>46203</v>
      </c>
      <c r="D91" s="3">
        <v>0.375</v>
      </c>
      <c r="E91" s="3">
        <v>0.77083333333333337</v>
      </c>
      <c r="F91" s="4">
        <f>IF(OR(D91="",E91=""),"",E91-D91)</f>
        <v>0.39583333333333337</v>
      </c>
      <c r="G91" t="s">
        <v>1610</v>
      </c>
    </row>
    <row r="92" spans="1:7">
      <c r="A92" t="s">
        <v>1702</v>
      </c>
      <c r="B92" t="s">
        <v>373</v>
      </c>
      <c r="C92" s="2">
        <v>46174</v>
      </c>
      <c r="D92" s="3">
        <v>0.37986111111111109</v>
      </c>
      <c r="E92" s="3">
        <v>0.77847222222222223</v>
      </c>
      <c r="F92" s="4">
        <f>IF(OR(D92="",E92=""),"",E92-D92)</f>
        <v>0.39861111111111114</v>
      </c>
      <c r="G92" t="s">
        <v>1610</v>
      </c>
    </row>
    <row r="93" spans="1:7">
      <c r="A93" t="s">
        <v>1703</v>
      </c>
      <c r="B93" t="s">
        <v>376</v>
      </c>
      <c r="C93" s="2">
        <v>46175</v>
      </c>
      <c r="D93" s="3">
        <v>0.38472222222222224</v>
      </c>
      <c r="E93" s="3">
        <v>0.78611111111111109</v>
      </c>
      <c r="F93" s="4">
        <f>IF(OR(D93="",E93=""),"",E93-D93)</f>
        <v>0.40138888888888885</v>
      </c>
      <c r="G93" t="s">
        <v>1610</v>
      </c>
    </row>
    <row r="94" spans="1:7">
      <c r="A94" t="s">
        <v>1704</v>
      </c>
      <c r="B94" t="s">
        <v>379</v>
      </c>
      <c r="C94" s="2">
        <v>46176</v>
      </c>
      <c r="D94" s="3"/>
      <c r="E94" s="3"/>
      <c r="F94" s="4"/>
      <c r="G94" t="s">
        <v>1613</v>
      </c>
    </row>
    <row r="95" spans="1:7">
      <c r="A95" t="s">
        <v>1705</v>
      </c>
      <c r="B95" t="s">
        <v>382</v>
      </c>
      <c r="C95" s="2">
        <v>46177</v>
      </c>
      <c r="D95" s="3">
        <v>0.43611111111111112</v>
      </c>
      <c r="E95" s="3">
        <v>0.75972222222222219</v>
      </c>
      <c r="F95" s="4">
        <f>IF(OR(D95="",E95=""),"",E95-D95)</f>
        <v>0.32361111111111107</v>
      </c>
      <c r="G95" t="s">
        <v>1615</v>
      </c>
    </row>
    <row r="96" spans="1:7">
      <c r="A96" t="s">
        <v>1706</v>
      </c>
      <c r="B96" t="s">
        <v>385</v>
      </c>
      <c r="C96" s="2">
        <v>46178</v>
      </c>
      <c r="D96" s="3">
        <v>0.39930555555555558</v>
      </c>
      <c r="E96" s="3">
        <v>0.76736111111111116</v>
      </c>
      <c r="F96" s="4">
        <f>IF(OR(D96="",E96=""),"",E96-D96)</f>
        <v>0.36805555555555558</v>
      </c>
      <c r="G96" t="s">
        <v>1610</v>
      </c>
    </row>
    <row r="97" spans="1:7">
      <c r="A97" t="s">
        <v>1707</v>
      </c>
      <c r="B97" t="s">
        <v>388</v>
      </c>
      <c r="C97" s="2">
        <v>46179</v>
      </c>
      <c r="D97" s="3">
        <v>0.40416666666666667</v>
      </c>
      <c r="E97" s="3">
        <v>0.77500000000000002</v>
      </c>
      <c r="F97" s="4">
        <f>IF(OR(D97="",E97=""),"",E97-D97)</f>
        <v>0.37083333333333335</v>
      </c>
      <c r="G97" t="s">
        <v>1610</v>
      </c>
    </row>
    <row r="98" spans="1:7">
      <c r="A98" t="s">
        <v>1708</v>
      </c>
      <c r="B98" t="s">
        <v>391</v>
      </c>
      <c r="C98" s="2">
        <v>46180</v>
      </c>
      <c r="D98" s="3">
        <v>0.37777777777777777</v>
      </c>
      <c r="E98" s="3">
        <v>0.78263888888888888</v>
      </c>
      <c r="F98" s="4">
        <f>IF(OR(D98="",E98=""),"",E98-D98)</f>
        <v>0.40486111111111112</v>
      </c>
      <c r="G98" t="s">
        <v>1610</v>
      </c>
    </row>
    <row r="99" spans="1:7">
      <c r="A99" t="s">
        <v>1709</v>
      </c>
      <c r="B99" t="s">
        <v>394</v>
      </c>
      <c r="C99" s="2">
        <v>46181</v>
      </c>
      <c r="D99" s="3"/>
      <c r="E99" s="3"/>
      <c r="F99" s="4"/>
      <c r="G99" t="s">
        <v>1613</v>
      </c>
    </row>
    <row r="100" spans="1:7">
      <c r="A100" t="s">
        <v>1710</v>
      </c>
      <c r="B100" t="s">
        <v>397</v>
      </c>
      <c r="C100" s="2">
        <v>46182</v>
      </c>
      <c r="D100" s="3">
        <v>0.42916666666666664</v>
      </c>
      <c r="E100" s="3">
        <v>0.75624999999999998</v>
      </c>
      <c r="F100" s="4">
        <f>IF(OR(D100="",E100=""),"",E100-D100)</f>
        <v>0.32708333333333334</v>
      </c>
      <c r="G100" t="s">
        <v>1615</v>
      </c>
    </row>
    <row r="101" spans="1:7">
      <c r="A101" t="s">
        <v>1711</v>
      </c>
      <c r="B101" t="s">
        <v>400</v>
      </c>
      <c r="C101" s="2">
        <v>46183</v>
      </c>
      <c r="D101" s="3">
        <v>0.3923611111111111</v>
      </c>
      <c r="E101" s="3">
        <v>0.76388888888888884</v>
      </c>
      <c r="F101" s="4">
        <f>IF(OR(D101="",E101=""),"",E101-D101)</f>
        <v>0.37152777777777773</v>
      </c>
      <c r="G101" t="s">
        <v>1610</v>
      </c>
    </row>
    <row r="102" spans="1:7">
      <c r="A102" t="s">
        <v>1712</v>
      </c>
      <c r="B102" t="s">
        <v>403</v>
      </c>
      <c r="C102" s="2">
        <v>46184</v>
      </c>
      <c r="D102" s="3">
        <v>0.3972222222222222</v>
      </c>
      <c r="E102" s="3">
        <v>0.77152777777777781</v>
      </c>
      <c r="F102" s="4">
        <f>IF(OR(D102="",E102=""),"",E102-D102)</f>
        <v>0.37430555555555561</v>
      </c>
      <c r="G102" t="s">
        <v>1610</v>
      </c>
    </row>
    <row r="103" spans="1:7">
      <c r="A103" t="s">
        <v>1713</v>
      </c>
      <c r="B103" t="s">
        <v>406</v>
      </c>
      <c r="C103" s="2">
        <v>46185</v>
      </c>
      <c r="D103" s="3">
        <v>0.40208333333333335</v>
      </c>
      <c r="E103" s="3">
        <v>0.77916666666666667</v>
      </c>
      <c r="F103" s="4">
        <f>IF(OR(D103="",E103=""),"",E103-D103)</f>
        <v>0.37708333333333333</v>
      </c>
      <c r="G103" t="s">
        <v>1610</v>
      </c>
    </row>
    <row r="104" spans="1:7">
      <c r="A104" t="s">
        <v>1714</v>
      </c>
      <c r="B104" t="s">
        <v>409</v>
      </c>
      <c r="C104" s="2">
        <v>46186</v>
      </c>
      <c r="D104" s="3"/>
      <c r="E104" s="3"/>
      <c r="F104" s="4"/>
      <c r="G104" t="s">
        <v>1613</v>
      </c>
    </row>
    <row r="105" spans="1:7">
      <c r="A105" t="s">
        <v>1715</v>
      </c>
      <c r="B105" t="s">
        <v>412</v>
      </c>
      <c r="C105" s="2">
        <v>46187</v>
      </c>
      <c r="D105" s="3">
        <v>0.42222222222222222</v>
      </c>
      <c r="E105" s="3">
        <v>0.75277777777777777</v>
      </c>
      <c r="F105" s="4">
        <f>IF(OR(D105="",E105=""),"",E105-D105)</f>
        <v>0.33055555555555555</v>
      </c>
      <c r="G105" t="s">
        <v>1615</v>
      </c>
    </row>
    <row r="106" spans="1:7">
      <c r="A106" t="s">
        <v>1716</v>
      </c>
      <c r="B106" t="s">
        <v>415</v>
      </c>
      <c r="C106" s="2">
        <v>46188</v>
      </c>
      <c r="D106" s="3">
        <v>0.38541666666666669</v>
      </c>
      <c r="E106" s="3">
        <v>0.76041666666666663</v>
      </c>
      <c r="F106" s="4">
        <f>IF(OR(D106="",E106=""),"",E106-D106)</f>
        <v>0.37499999999999994</v>
      </c>
      <c r="G106" t="s">
        <v>1610</v>
      </c>
    </row>
    <row r="107" spans="1:7">
      <c r="A107" t="s">
        <v>1717</v>
      </c>
      <c r="B107" t="s">
        <v>418</v>
      </c>
      <c r="C107" s="2">
        <v>46189</v>
      </c>
      <c r="D107" s="3">
        <v>0.39027777777777778</v>
      </c>
      <c r="E107" s="3">
        <v>0.7680555555555556</v>
      </c>
      <c r="F107" s="4">
        <f>IF(OR(D107="",E107=""),"",E107-D107)</f>
        <v>0.37777777777777782</v>
      </c>
      <c r="G107" t="s">
        <v>1610</v>
      </c>
    </row>
    <row r="108" spans="1:7">
      <c r="A108" t="s">
        <v>1718</v>
      </c>
      <c r="B108" t="s">
        <v>421</v>
      </c>
      <c r="C108" s="2">
        <v>46190</v>
      </c>
      <c r="D108" s="3">
        <v>0.39513888888888887</v>
      </c>
      <c r="E108" s="3">
        <v>0.77569444444444446</v>
      </c>
      <c r="F108" s="4">
        <f>IF(OR(D108="",E108=""),"",E108-D108)</f>
        <v>0.38055555555555559</v>
      </c>
      <c r="G108" t="s">
        <v>1610</v>
      </c>
    </row>
    <row r="109" spans="1:7">
      <c r="A109" t="s">
        <v>1719</v>
      </c>
      <c r="B109" t="s">
        <v>424</v>
      </c>
      <c r="C109" s="2">
        <v>46191</v>
      </c>
      <c r="D109" s="3"/>
      <c r="E109" s="3"/>
      <c r="F109" s="4"/>
      <c r="G109" t="s">
        <v>1613</v>
      </c>
    </row>
    <row r="110" spans="1:7">
      <c r="A110" t="s">
        <v>1720</v>
      </c>
      <c r="B110" t="s">
        <v>427</v>
      </c>
      <c r="C110" s="2">
        <v>46192</v>
      </c>
      <c r="D110" s="3">
        <v>0.4465277777777778</v>
      </c>
      <c r="E110" s="3">
        <v>0.79097222222222219</v>
      </c>
      <c r="F110" s="4">
        <f>IF(OR(D110="",E110=""),"",E110-D110)</f>
        <v>0.34444444444444439</v>
      </c>
      <c r="G110" t="s">
        <v>1615</v>
      </c>
    </row>
    <row r="111" spans="1:7">
      <c r="A111" t="s">
        <v>1721</v>
      </c>
      <c r="B111" t="s">
        <v>430</v>
      </c>
      <c r="C111" s="2">
        <v>46193</v>
      </c>
      <c r="D111" s="3">
        <v>0.37847222222222221</v>
      </c>
      <c r="E111" s="3">
        <v>0.75694444444444442</v>
      </c>
      <c r="F111" s="4">
        <f>IF(OR(D111="",E111=""),"",E111-D111)</f>
        <v>0.37847222222222221</v>
      </c>
      <c r="G111" t="s">
        <v>1610</v>
      </c>
    </row>
    <row r="112" spans="1:7">
      <c r="A112" t="s">
        <v>1722</v>
      </c>
      <c r="B112" t="s">
        <v>433</v>
      </c>
      <c r="C112" s="2">
        <v>46194</v>
      </c>
      <c r="D112" s="3">
        <v>0.38333333333333336</v>
      </c>
      <c r="E112" s="3">
        <v>0.76458333333333328</v>
      </c>
      <c r="F112" s="4">
        <f>IF(OR(D112="",E112=""),"",E112-D112)</f>
        <v>0.38124999999999992</v>
      </c>
      <c r="G112" t="s">
        <v>1610</v>
      </c>
    </row>
    <row r="113" spans="1:7">
      <c r="A113" t="s">
        <v>1723</v>
      </c>
      <c r="B113" t="s">
        <v>436</v>
      </c>
      <c r="C113" s="2">
        <v>46195</v>
      </c>
      <c r="D113" s="3">
        <v>0.38819444444444445</v>
      </c>
      <c r="E113" s="3">
        <v>0.77222222222222225</v>
      </c>
      <c r="F113" s="4">
        <f>IF(OR(D113="",E113=""),"",E113-D113)</f>
        <v>0.3840277777777778</v>
      </c>
      <c r="G113" t="s">
        <v>1610</v>
      </c>
    </row>
    <row r="114" spans="1:7">
      <c r="A114" t="s">
        <v>1724</v>
      </c>
      <c r="B114" t="s">
        <v>439</v>
      </c>
      <c r="C114" s="2">
        <v>46196</v>
      </c>
      <c r="D114" s="3"/>
      <c r="E114" s="3"/>
      <c r="F114" s="4"/>
      <c r="G114" t="s">
        <v>1613</v>
      </c>
    </row>
    <row r="115" spans="1:7">
      <c r="A115" t="s">
        <v>1725</v>
      </c>
      <c r="B115" t="s">
        <v>442</v>
      </c>
      <c r="C115" s="2">
        <v>46197</v>
      </c>
      <c r="D115" s="3">
        <v>0.43958333333333333</v>
      </c>
      <c r="E115" s="3">
        <v>0.78749999999999998</v>
      </c>
      <c r="F115" s="4">
        <f>IF(OR(D115="",E115=""),"",E115-D115)</f>
        <v>0.34791666666666665</v>
      </c>
      <c r="G115" t="s">
        <v>1615</v>
      </c>
    </row>
    <row r="116" spans="1:7">
      <c r="A116" t="s">
        <v>1726</v>
      </c>
      <c r="B116" t="s">
        <v>445</v>
      </c>
      <c r="C116" s="2">
        <v>46198</v>
      </c>
      <c r="D116" s="3">
        <v>0.40277777777777779</v>
      </c>
      <c r="E116" s="3">
        <v>0.75347222222222221</v>
      </c>
      <c r="F116" s="4">
        <f>IF(OR(D116="",E116=""),"",E116-D116)</f>
        <v>0.35069444444444442</v>
      </c>
      <c r="G116" t="s">
        <v>1610</v>
      </c>
    </row>
    <row r="117" spans="1:7">
      <c r="A117" t="s">
        <v>1727</v>
      </c>
      <c r="B117" t="s">
        <v>448</v>
      </c>
      <c r="C117" s="2">
        <v>46199</v>
      </c>
      <c r="D117" s="3">
        <v>0.37638888888888888</v>
      </c>
      <c r="E117" s="3">
        <v>0.76111111111111107</v>
      </c>
      <c r="F117" s="4">
        <f>IF(OR(D117="",E117=""),"",E117-D117)</f>
        <v>0.38472222222222219</v>
      </c>
      <c r="G117" t="s">
        <v>1610</v>
      </c>
    </row>
    <row r="118" spans="1:7">
      <c r="A118" t="s">
        <v>1728</v>
      </c>
      <c r="B118" t="s">
        <v>451</v>
      </c>
      <c r="C118" s="2">
        <v>46200</v>
      </c>
      <c r="D118" s="3">
        <v>0.38124999999999998</v>
      </c>
      <c r="E118" s="3">
        <v>0.76875000000000004</v>
      </c>
      <c r="F118" s="4">
        <f>IF(OR(D118="",E118=""),"",E118-D118)</f>
        <v>0.38750000000000007</v>
      </c>
      <c r="G118" t="s">
        <v>1610</v>
      </c>
    </row>
    <row r="119" spans="1:7">
      <c r="A119" t="s">
        <v>1729</v>
      </c>
      <c r="B119" t="s">
        <v>454</v>
      </c>
      <c r="C119" s="2">
        <v>46201</v>
      </c>
      <c r="D119" s="3"/>
      <c r="E119" s="3"/>
      <c r="F119" s="4"/>
      <c r="G119" t="s">
        <v>1613</v>
      </c>
    </row>
    <row r="120" spans="1:7">
      <c r="A120" t="s">
        <v>1730</v>
      </c>
      <c r="B120" t="s">
        <v>457</v>
      </c>
      <c r="C120" s="2">
        <v>46202</v>
      </c>
      <c r="D120" s="3">
        <v>0.43263888888888891</v>
      </c>
      <c r="E120" s="3">
        <v>0.78402777777777777</v>
      </c>
      <c r="F120" s="4">
        <f>IF(OR(D120="",E120=""),"",E120-D120)</f>
        <v>0.35138888888888886</v>
      </c>
      <c r="G120" t="s">
        <v>1615</v>
      </c>
    </row>
    <row r="121" spans="1:7">
      <c r="A121" t="s">
        <v>1731</v>
      </c>
      <c r="B121" t="s">
        <v>460</v>
      </c>
      <c r="C121" s="2">
        <v>46203</v>
      </c>
      <c r="D121" s="3">
        <v>0.39583333333333331</v>
      </c>
      <c r="E121" s="3">
        <v>0.75</v>
      </c>
      <c r="F121" s="4">
        <f>IF(OR(D121="",E121=""),"",E121-D121)</f>
        <v>0.35416666666666669</v>
      </c>
      <c r="G121" t="s">
        <v>1610</v>
      </c>
    </row>
    <row r="122" spans="1:7">
      <c r="A122" t="s">
        <v>1732</v>
      </c>
      <c r="B122" t="s">
        <v>463</v>
      </c>
      <c r="C122" s="2">
        <v>46174</v>
      </c>
      <c r="D122" s="3">
        <v>0.40069444444444446</v>
      </c>
      <c r="E122" s="3">
        <v>0.75763888888888886</v>
      </c>
      <c r="F122" s="4">
        <f>IF(OR(D122="",E122=""),"",E122-D122)</f>
        <v>0.3569444444444444</v>
      </c>
      <c r="G122" t="s">
        <v>1610</v>
      </c>
    </row>
    <row r="123" spans="1:7">
      <c r="A123" t="s">
        <v>1733</v>
      </c>
      <c r="B123" t="s">
        <v>466</v>
      </c>
      <c r="C123" s="2">
        <v>46175</v>
      </c>
      <c r="D123" s="3">
        <v>0.40555555555555556</v>
      </c>
      <c r="E123" s="3">
        <v>0.76527777777777772</v>
      </c>
      <c r="F123" s="4">
        <f>IF(OR(D123="",E123=""),"",E123-D123)</f>
        <v>0.35972222222222217</v>
      </c>
      <c r="G123" t="s">
        <v>1610</v>
      </c>
    </row>
    <row r="124" spans="1:7">
      <c r="A124" t="s">
        <v>1734</v>
      </c>
      <c r="B124" t="s">
        <v>469</v>
      </c>
      <c r="C124" s="2">
        <v>46176</v>
      </c>
      <c r="D124" s="3"/>
      <c r="E124" s="3"/>
      <c r="F124" s="4"/>
      <c r="G124" t="s">
        <v>1613</v>
      </c>
    </row>
    <row r="125" spans="1:7">
      <c r="A125" t="s">
        <v>1735</v>
      </c>
      <c r="B125" t="s">
        <v>472</v>
      </c>
      <c r="C125" s="2">
        <v>46177</v>
      </c>
      <c r="D125" s="3">
        <v>0.42569444444444443</v>
      </c>
      <c r="E125" s="3">
        <v>0.78055555555555556</v>
      </c>
      <c r="F125" s="4">
        <f>IF(OR(D125="",E125=""),"",E125-D125)</f>
        <v>0.35486111111111113</v>
      </c>
      <c r="G125" t="s">
        <v>1615</v>
      </c>
    </row>
    <row r="126" spans="1:7">
      <c r="A126" t="s">
        <v>1736</v>
      </c>
      <c r="B126" t="s">
        <v>475</v>
      </c>
      <c r="C126" s="2">
        <v>46178</v>
      </c>
      <c r="D126" s="3">
        <v>0.3888888888888889</v>
      </c>
      <c r="E126" s="3">
        <v>0.78819444444444442</v>
      </c>
      <c r="F126" s="4">
        <f>IF(OR(D126="",E126=""),"",E126-D126)</f>
        <v>0.39930555555555552</v>
      </c>
      <c r="G126" t="s">
        <v>1610</v>
      </c>
    </row>
    <row r="127" spans="1:7">
      <c r="A127" t="s">
        <v>1737</v>
      </c>
      <c r="B127" t="s">
        <v>478</v>
      </c>
      <c r="C127" s="2">
        <v>46179</v>
      </c>
      <c r="D127" s="3">
        <v>0.39374999999999999</v>
      </c>
      <c r="E127" s="3">
        <v>0.75416666666666665</v>
      </c>
      <c r="F127" s="4">
        <f>IF(OR(D127="",E127=""),"",E127-D127)</f>
        <v>0.36041666666666666</v>
      </c>
      <c r="G127" t="s">
        <v>1610</v>
      </c>
    </row>
    <row r="128" spans="1:7">
      <c r="A128" t="s">
        <v>1738</v>
      </c>
      <c r="B128" t="s">
        <v>481</v>
      </c>
      <c r="C128" s="2">
        <v>46180</v>
      </c>
      <c r="D128" s="3">
        <v>0.39861111111111114</v>
      </c>
      <c r="E128" s="3">
        <v>0.76180555555555551</v>
      </c>
      <c r="F128" s="4">
        <f>IF(OR(D128="",E128=""),"",E128-D128)</f>
        <v>0.36319444444444438</v>
      </c>
      <c r="G128" t="s">
        <v>1610</v>
      </c>
    </row>
    <row r="129" spans="1:7">
      <c r="A129" t="s">
        <v>1739</v>
      </c>
      <c r="B129" t="s">
        <v>484</v>
      </c>
      <c r="C129" s="2">
        <v>46181</v>
      </c>
      <c r="D129" s="3"/>
      <c r="E129" s="3"/>
      <c r="F129" s="4"/>
      <c r="G129" t="s">
        <v>1613</v>
      </c>
    </row>
    <row r="130" spans="1:7">
      <c r="A130" t="s">
        <v>1740</v>
      </c>
      <c r="B130" t="s">
        <v>487</v>
      </c>
      <c r="C130" s="2">
        <v>46182</v>
      </c>
      <c r="D130" s="3">
        <v>0.41875000000000001</v>
      </c>
      <c r="E130" s="3">
        <v>0.77708333333333335</v>
      </c>
      <c r="F130" s="4">
        <f>IF(OR(D130="",E130=""),"",E130-D130)</f>
        <v>0.35833333333333334</v>
      </c>
      <c r="G130" t="s">
        <v>1615</v>
      </c>
    </row>
    <row r="131" spans="1:7">
      <c r="A131" t="s">
        <v>1741</v>
      </c>
      <c r="B131" t="s">
        <v>490</v>
      </c>
      <c r="C131" s="2">
        <v>46183</v>
      </c>
      <c r="D131" s="3">
        <v>0.38194444444444442</v>
      </c>
      <c r="E131" s="3">
        <v>0.78472222222222221</v>
      </c>
      <c r="F131" s="4">
        <f>IF(OR(D131="",E131=""),"",E131-D131)</f>
        <v>0.40277777777777779</v>
      </c>
      <c r="G131" t="s">
        <v>1610</v>
      </c>
    </row>
    <row r="132" spans="1:7">
      <c r="A132" t="s">
        <v>1742</v>
      </c>
      <c r="B132" t="s">
        <v>493</v>
      </c>
      <c r="C132" s="2">
        <v>46184</v>
      </c>
      <c r="D132" s="3">
        <v>0.38680555555555557</v>
      </c>
      <c r="E132" s="3">
        <v>0.75069444444444444</v>
      </c>
      <c r="F132" s="4">
        <f>IF(OR(D132="",E132=""),"",E132-D132)</f>
        <v>0.36388888888888887</v>
      </c>
      <c r="G132" t="s">
        <v>1610</v>
      </c>
    </row>
    <row r="133" spans="1:7">
      <c r="A133" t="s">
        <v>1743</v>
      </c>
      <c r="B133" t="s">
        <v>496</v>
      </c>
      <c r="C133" s="2">
        <v>46185</v>
      </c>
      <c r="D133" s="3">
        <v>0.39166666666666666</v>
      </c>
      <c r="E133" s="3">
        <v>0.7583333333333333</v>
      </c>
      <c r="F133" s="4">
        <f>IF(OR(D133="",E133=""),"",E133-D133)</f>
        <v>0.36666666666666664</v>
      </c>
      <c r="G133" t="s">
        <v>1610</v>
      </c>
    </row>
    <row r="134" spans="1:7">
      <c r="A134" t="s">
        <v>1744</v>
      </c>
      <c r="B134" t="s">
        <v>499</v>
      </c>
      <c r="C134" s="2">
        <v>46186</v>
      </c>
      <c r="D134" s="3"/>
      <c r="E134" s="3"/>
      <c r="F134" s="4"/>
      <c r="G134" t="s">
        <v>1613</v>
      </c>
    </row>
    <row r="135" spans="1:7">
      <c r="A135" t="s">
        <v>1745</v>
      </c>
      <c r="B135" t="s">
        <v>502</v>
      </c>
      <c r="C135" s="2">
        <v>46187</v>
      </c>
      <c r="D135" s="3">
        <v>0.44305555555555554</v>
      </c>
      <c r="E135" s="3">
        <v>0.77361111111111114</v>
      </c>
      <c r="F135" s="4">
        <f>IF(OR(D135="",E135=""),"",E135-D135)</f>
        <v>0.3305555555555556</v>
      </c>
      <c r="G135" t="s">
        <v>1615</v>
      </c>
    </row>
    <row r="136" spans="1:7">
      <c r="A136" t="s">
        <v>1746</v>
      </c>
      <c r="B136" t="s">
        <v>505</v>
      </c>
      <c r="C136" s="2">
        <v>46188</v>
      </c>
      <c r="D136" s="3">
        <v>0.375</v>
      </c>
      <c r="E136" s="3">
        <v>0.78125</v>
      </c>
      <c r="F136" s="4">
        <f>IF(OR(D136="",E136=""),"",E136-D136)</f>
        <v>0.40625</v>
      </c>
      <c r="G136" t="s">
        <v>1610</v>
      </c>
    </row>
    <row r="137" spans="1:7">
      <c r="A137" t="s">
        <v>1747</v>
      </c>
      <c r="B137" t="s">
        <v>508</v>
      </c>
      <c r="C137" s="2">
        <v>46189</v>
      </c>
      <c r="D137" s="3">
        <v>0.37986111111111109</v>
      </c>
      <c r="E137" s="3">
        <v>0.78888888888888886</v>
      </c>
      <c r="F137" s="4">
        <f>IF(OR(D137="",E137=""),"",E137-D137)</f>
        <v>0.40902777777777777</v>
      </c>
      <c r="G137" t="s">
        <v>1610</v>
      </c>
    </row>
    <row r="138" spans="1:7">
      <c r="A138" t="s">
        <v>1748</v>
      </c>
      <c r="B138" t="s">
        <v>511</v>
      </c>
      <c r="C138" s="2">
        <v>46190</v>
      </c>
      <c r="D138" s="3">
        <v>0.38472222222222224</v>
      </c>
      <c r="E138" s="3">
        <v>0.75486111111111109</v>
      </c>
      <c r="F138" s="4">
        <f>IF(OR(D138="",E138=""),"",E138-D138)</f>
        <v>0.37013888888888885</v>
      </c>
      <c r="G138" t="s">
        <v>1610</v>
      </c>
    </row>
    <row r="139" spans="1:7">
      <c r="A139" t="s">
        <v>1749</v>
      </c>
      <c r="B139" t="s">
        <v>514</v>
      </c>
      <c r="C139" s="2">
        <v>46191</v>
      </c>
      <c r="D139" s="3"/>
      <c r="E139" s="3"/>
      <c r="F139" s="4"/>
      <c r="G139" t="s">
        <v>1613</v>
      </c>
    </row>
    <row r="140" spans="1:7">
      <c r="A140" t="s">
        <v>1750</v>
      </c>
      <c r="B140" t="s">
        <v>517</v>
      </c>
      <c r="C140" s="2">
        <v>46192</v>
      </c>
      <c r="D140" s="3">
        <v>0.43611111111111112</v>
      </c>
      <c r="E140" s="3">
        <v>0.77013888888888893</v>
      </c>
      <c r="F140" s="4">
        <f>IF(OR(D140="",E140=""),"",E140-D140)</f>
        <v>0.33402777777777781</v>
      </c>
      <c r="G140" t="s">
        <v>1615</v>
      </c>
    </row>
    <row r="141" spans="1:7">
      <c r="A141" t="s">
        <v>1751</v>
      </c>
      <c r="B141" t="s">
        <v>520</v>
      </c>
      <c r="C141" s="2">
        <v>46193</v>
      </c>
      <c r="D141" s="3">
        <v>0.39930555555555558</v>
      </c>
      <c r="E141" s="3">
        <v>0.77777777777777779</v>
      </c>
      <c r="F141" s="4">
        <f>IF(OR(D141="",E141=""),"",E141-D141)</f>
        <v>0.37847222222222221</v>
      </c>
      <c r="G141" t="s">
        <v>1610</v>
      </c>
    </row>
    <row r="142" spans="1:7">
      <c r="A142" t="s">
        <v>1752</v>
      </c>
      <c r="B142" t="s">
        <v>523</v>
      </c>
      <c r="C142" s="2">
        <v>46194</v>
      </c>
      <c r="D142" s="3">
        <v>0.40416666666666667</v>
      </c>
      <c r="E142" s="3">
        <v>0.78541666666666665</v>
      </c>
      <c r="F142" s="4">
        <f>IF(OR(D142="",E142=""),"",E142-D142)</f>
        <v>0.38124999999999998</v>
      </c>
      <c r="G142" t="s">
        <v>1610</v>
      </c>
    </row>
    <row r="143" spans="1:7">
      <c r="A143" t="s">
        <v>1753</v>
      </c>
      <c r="B143" t="s">
        <v>526</v>
      </c>
      <c r="C143" s="2">
        <v>46195</v>
      </c>
      <c r="D143" s="3">
        <v>0.37777777777777777</v>
      </c>
      <c r="E143" s="3">
        <v>0.75138888888888888</v>
      </c>
      <c r="F143" s="4">
        <f>IF(OR(D143="",E143=""),"",E143-D143)</f>
        <v>0.37361111111111112</v>
      </c>
      <c r="G143" t="s">
        <v>1610</v>
      </c>
    </row>
    <row r="144" spans="1:7">
      <c r="A144" t="s">
        <v>1754</v>
      </c>
      <c r="B144" t="s">
        <v>529</v>
      </c>
      <c r="C144" s="2">
        <v>46196</v>
      </c>
      <c r="D144" s="3"/>
      <c r="E144" s="3"/>
      <c r="F144" s="4"/>
      <c r="G144" t="s">
        <v>1613</v>
      </c>
    </row>
    <row r="145" spans="1:7">
      <c r="A145" t="s">
        <v>1755</v>
      </c>
      <c r="B145" t="s">
        <v>532</v>
      </c>
      <c r="C145" s="2">
        <v>46197</v>
      </c>
      <c r="D145" s="3">
        <v>0.42916666666666664</v>
      </c>
      <c r="E145" s="3">
        <v>0.76666666666666672</v>
      </c>
      <c r="F145" s="4">
        <f>IF(OR(D145="",E145=""),"",E145-D145)</f>
        <v>0.33750000000000008</v>
      </c>
      <c r="G145" t="s">
        <v>1615</v>
      </c>
    </row>
    <row r="146" spans="1:7">
      <c r="A146" t="s">
        <v>1756</v>
      </c>
      <c r="B146" t="s">
        <v>535</v>
      </c>
      <c r="C146" s="2">
        <v>46198</v>
      </c>
      <c r="D146" s="3">
        <v>0.3923611111111111</v>
      </c>
      <c r="E146" s="3">
        <v>0.77430555555555558</v>
      </c>
      <c r="F146" s="4">
        <f>IF(OR(D146="",E146=""),"",E146-D146)</f>
        <v>0.38194444444444448</v>
      </c>
      <c r="G146" t="s">
        <v>1610</v>
      </c>
    </row>
    <row r="147" spans="1:7">
      <c r="A147" t="s">
        <v>1757</v>
      </c>
      <c r="B147" t="s">
        <v>538</v>
      </c>
      <c r="C147" s="2">
        <v>46199</v>
      </c>
      <c r="D147" s="3">
        <v>0.3972222222222222</v>
      </c>
      <c r="E147" s="3">
        <v>0.78194444444444444</v>
      </c>
      <c r="F147" s="4">
        <f>IF(OR(D147="",E147=""),"",E147-D147)</f>
        <v>0.38472222222222224</v>
      </c>
      <c r="G147" t="s">
        <v>1610</v>
      </c>
    </row>
    <row r="148" spans="1:7">
      <c r="A148" t="s">
        <v>1758</v>
      </c>
      <c r="B148" t="s">
        <v>541</v>
      </c>
      <c r="C148" s="2">
        <v>46200</v>
      </c>
      <c r="D148" s="3">
        <v>0.40208333333333335</v>
      </c>
      <c r="E148" s="3">
        <v>0.7895833333333333</v>
      </c>
      <c r="F148" s="4">
        <f>IF(OR(D148="",E148=""),"",E148-D148)</f>
        <v>0.38749999999999996</v>
      </c>
      <c r="G148" t="s">
        <v>1610</v>
      </c>
    </row>
    <row r="149" spans="1:7">
      <c r="A149" t="s">
        <v>1759</v>
      </c>
      <c r="B149" t="s">
        <v>544</v>
      </c>
      <c r="C149" s="2">
        <v>46201</v>
      </c>
      <c r="D149" s="3"/>
      <c r="E149" s="3"/>
      <c r="F149" s="4"/>
      <c r="G149" t="s">
        <v>1613</v>
      </c>
    </row>
    <row r="150" spans="1:7">
      <c r="A150" t="s">
        <v>1760</v>
      </c>
      <c r="B150" t="s">
        <v>547</v>
      </c>
      <c r="C150" s="2">
        <v>46202</v>
      </c>
      <c r="D150" s="3">
        <v>0.42222222222222222</v>
      </c>
      <c r="E150" s="3">
        <v>0.7631944444444444</v>
      </c>
      <c r="F150" s="4">
        <f>IF(OR(D150="",E150=""),"",E150-D150)</f>
        <v>0.34097222222222218</v>
      </c>
      <c r="G150" t="s">
        <v>1615</v>
      </c>
    </row>
    <row r="151" spans="1:7">
      <c r="A151" t="s">
        <v>1761</v>
      </c>
      <c r="B151" t="s">
        <v>550</v>
      </c>
      <c r="C151" s="2">
        <v>46203</v>
      </c>
      <c r="D151" s="3">
        <v>0.38541666666666669</v>
      </c>
      <c r="E151" s="3">
        <v>0.77083333333333337</v>
      </c>
      <c r="F151" s="4">
        <f>IF(OR(D151="",E151=""),"",E151-D151)</f>
        <v>0.38541666666666669</v>
      </c>
      <c r="G151" t="s">
        <v>1610</v>
      </c>
    </row>
    <row r="152" spans="1:7">
      <c r="A152" t="s">
        <v>1762</v>
      </c>
      <c r="B152" t="s">
        <v>553</v>
      </c>
      <c r="C152" s="2">
        <v>46174</v>
      </c>
      <c r="D152" s="3">
        <v>0.39027777777777778</v>
      </c>
      <c r="E152" s="3">
        <v>0.77847222222222223</v>
      </c>
      <c r="F152" s="4">
        <f>IF(OR(D152="",E152=""),"",E152-D152)</f>
        <v>0.38819444444444445</v>
      </c>
      <c r="G152" t="s">
        <v>1610</v>
      </c>
    </row>
    <row r="153" spans="1:7">
      <c r="A153" t="s">
        <v>1763</v>
      </c>
      <c r="B153" t="s">
        <v>556</v>
      </c>
      <c r="C153" s="2">
        <v>46175</v>
      </c>
      <c r="D153" s="3">
        <v>0.39513888888888887</v>
      </c>
      <c r="E153" s="3">
        <v>0.78611111111111109</v>
      </c>
      <c r="F153" s="4">
        <f>IF(OR(D153="",E153=""),"",E153-D153)</f>
        <v>0.39097222222222222</v>
      </c>
      <c r="G153" t="s">
        <v>1610</v>
      </c>
    </row>
    <row r="154" spans="1:7">
      <c r="A154" t="s">
        <v>1764</v>
      </c>
      <c r="B154" t="s">
        <v>559</v>
      </c>
      <c r="C154" s="2">
        <v>46176</v>
      </c>
      <c r="D154" s="3"/>
      <c r="E154" s="3"/>
      <c r="F154" s="4"/>
      <c r="G154" t="s">
        <v>1613</v>
      </c>
    </row>
    <row r="155" spans="1:7">
      <c r="A155" t="s">
        <v>1765</v>
      </c>
      <c r="B155" t="s">
        <v>562</v>
      </c>
      <c r="C155" s="2">
        <v>46177</v>
      </c>
      <c r="D155" s="3">
        <v>0.4465277777777778</v>
      </c>
      <c r="E155" s="3">
        <v>0.75972222222222219</v>
      </c>
      <c r="F155" s="4">
        <f>IF(OR(D155="",E155=""),"",E155-D155)</f>
        <v>0.31319444444444439</v>
      </c>
      <c r="G155" t="s">
        <v>1615</v>
      </c>
    </row>
    <row r="156" spans="1:7">
      <c r="A156" t="s">
        <v>1766</v>
      </c>
      <c r="B156" t="s">
        <v>565</v>
      </c>
      <c r="C156" s="2">
        <v>46178</v>
      </c>
      <c r="D156" s="3">
        <v>0.37847222222222221</v>
      </c>
      <c r="E156" s="3">
        <v>0.76736111111111116</v>
      </c>
      <c r="F156" s="4">
        <f>IF(OR(D156="",E156=""),"",E156-D156)</f>
        <v>0.38888888888888895</v>
      </c>
      <c r="G156" t="s">
        <v>1610</v>
      </c>
    </row>
    <row r="157" spans="1:7">
      <c r="A157" t="s">
        <v>1767</v>
      </c>
      <c r="B157" t="s">
        <v>568</v>
      </c>
      <c r="C157" s="2">
        <v>46179</v>
      </c>
      <c r="D157" s="3">
        <v>0.38333333333333336</v>
      </c>
      <c r="E157" s="3">
        <v>0.77500000000000002</v>
      </c>
      <c r="F157" s="4">
        <f>IF(OR(D157="",E157=""),"",E157-D157)</f>
        <v>0.39166666666666666</v>
      </c>
      <c r="G157" t="s">
        <v>1610</v>
      </c>
    </row>
    <row r="158" spans="1:7">
      <c r="A158" t="s">
        <v>1768</v>
      </c>
      <c r="B158" t="s">
        <v>571</v>
      </c>
      <c r="C158" s="2">
        <v>46180</v>
      </c>
      <c r="D158" s="3">
        <v>0.38819444444444445</v>
      </c>
      <c r="E158" s="3">
        <v>0.78263888888888888</v>
      </c>
      <c r="F158" s="4">
        <f>IF(OR(D158="",E158=""),"",E158-D158)</f>
        <v>0.39444444444444443</v>
      </c>
      <c r="G158" t="s">
        <v>1610</v>
      </c>
    </row>
    <row r="159" spans="1:7">
      <c r="A159" t="s">
        <v>1769</v>
      </c>
      <c r="B159" t="s">
        <v>574</v>
      </c>
      <c r="C159" s="2">
        <v>46181</v>
      </c>
      <c r="D159" s="3"/>
      <c r="E159" s="3"/>
      <c r="F159" s="4"/>
      <c r="G159" t="s">
        <v>1613</v>
      </c>
    </row>
    <row r="160" spans="1:7">
      <c r="A160" t="s">
        <v>1770</v>
      </c>
      <c r="B160" t="s">
        <v>577</v>
      </c>
      <c r="C160" s="2">
        <v>46182</v>
      </c>
      <c r="D160" s="3">
        <v>0.43958333333333333</v>
      </c>
      <c r="E160" s="3">
        <v>0.75624999999999998</v>
      </c>
      <c r="F160" s="4">
        <f>IF(OR(D160="",E160=""),"",E160-D160)</f>
        <v>0.31666666666666665</v>
      </c>
      <c r="G160" t="s">
        <v>1615</v>
      </c>
    </row>
    <row r="161" spans="1:7">
      <c r="A161" t="s">
        <v>1771</v>
      </c>
      <c r="B161" t="s">
        <v>580</v>
      </c>
      <c r="C161" s="2">
        <v>46183</v>
      </c>
      <c r="D161" s="3">
        <v>0.40277777777777779</v>
      </c>
      <c r="E161" s="3">
        <v>0.76388888888888884</v>
      </c>
      <c r="F161" s="4">
        <f>IF(OR(D161="",E161=""),"",E161-D161)</f>
        <v>0.36111111111111105</v>
      </c>
      <c r="G161" t="s">
        <v>1610</v>
      </c>
    </row>
    <row r="162" spans="1:7">
      <c r="A162" t="s">
        <v>1772</v>
      </c>
      <c r="B162" t="s">
        <v>583</v>
      </c>
      <c r="C162" s="2">
        <v>46184</v>
      </c>
      <c r="D162" s="3">
        <v>0.37638888888888888</v>
      </c>
      <c r="E162" s="3">
        <v>0.77152777777777781</v>
      </c>
      <c r="F162" s="4">
        <f>IF(OR(D162="",E162=""),"",E162-D162)</f>
        <v>0.39513888888888893</v>
      </c>
      <c r="G162" t="s">
        <v>1610</v>
      </c>
    </row>
    <row r="163" spans="1:7">
      <c r="A163" t="s">
        <v>1773</v>
      </c>
      <c r="B163" t="s">
        <v>586</v>
      </c>
      <c r="C163" s="2">
        <v>46185</v>
      </c>
      <c r="D163" s="3">
        <v>0.38124999999999998</v>
      </c>
      <c r="E163" s="3">
        <v>0.77916666666666667</v>
      </c>
      <c r="F163" s="4">
        <f>IF(OR(D163="",E163=""),"",E163-D163)</f>
        <v>0.3979166666666667</v>
      </c>
      <c r="G163" t="s">
        <v>1610</v>
      </c>
    </row>
    <row r="164" spans="1:7">
      <c r="A164" t="s">
        <v>1774</v>
      </c>
      <c r="B164" t="s">
        <v>589</v>
      </c>
      <c r="C164" s="2">
        <v>46186</v>
      </c>
      <c r="D164" s="3"/>
      <c r="E164" s="3"/>
      <c r="F164" s="4"/>
      <c r="G164" t="s">
        <v>1613</v>
      </c>
    </row>
    <row r="165" spans="1:7">
      <c r="A165" t="s">
        <v>1775</v>
      </c>
      <c r="B165" t="s">
        <v>592</v>
      </c>
      <c r="C165" s="2">
        <v>46187</v>
      </c>
      <c r="D165" s="3">
        <v>0.43263888888888891</v>
      </c>
      <c r="E165" s="3">
        <v>0.75277777777777777</v>
      </c>
      <c r="F165" s="4">
        <f>IF(OR(D165="",E165=""),"",E165-D165)</f>
        <v>0.32013888888888886</v>
      </c>
      <c r="G165" t="s">
        <v>1615</v>
      </c>
    </row>
    <row r="166" spans="1:7">
      <c r="A166" t="s">
        <v>1776</v>
      </c>
      <c r="B166" t="s">
        <v>595</v>
      </c>
      <c r="C166" s="2">
        <v>46188</v>
      </c>
      <c r="D166" s="3">
        <v>0.39583333333333331</v>
      </c>
      <c r="E166" s="3">
        <v>0.76041666666666663</v>
      </c>
      <c r="F166" s="4">
        <f>IF(OR(D166="",E166=""),"",E166-D166)</f>
        <v>0.36458333333333331</v>
      </c>
      <c r="G166" t="s">
        <v>1610</v>
      </c>
    </row>
    <row r="167" spans="1:7">
      <c r="A167" t="s">
        <v>1777</v>
      </c>
      <c r="B167" t="s">
        <v>598</v>
      </c>
      <c r="C167" s="2">
        <v>46189</v>
      </c>
      <c r="D167" s="3">
        <v>0.40069444444444446</v>
      </c>
      <c r="E167" s="3">
        <v>0.7680555555555556</v>
      </c>
      <c r="F167" s="4">
        <f>IF(OR(D167="",E167=""),"",E167-D167)</f>
        <v>0.36736111111111114</v>
      </c>
      <c r="G167" t="s">
        <v>1610</v>
      </c>
    </row>
    <row r="168" spans="1:7">
      <c r="A168" t="s">
        <v>1778</v>
      </c>
      <c r="B168" t="s">
        <v>601</v>
      </c>
      <c r="C168" s="2">
        <v>46190</v>
      </c>
      <c r="D168" s="3">
        <v>0.40555555555555556</v>
      </c>
      <c r="E168" s="3">
        <v>0.77569444444444446</v>
      </c>
      <c r="F168" s="4">
        <f>IF(OR(D168="",E168=""),"",E168-D168)</f>
        <v>0.37013888888888891</v>
      </c>
      <c r="G168" t="s">
        <v>1610</v>
      </c>
    </row>
    <row r="169" spans="1:7">
      <c r="A169" t="s">
        <v>1779</v>
      </c>
      <c r="B169" t="s">
        <v>604</v>
      </c>
      <c r="C169" s="2">
        <v>46191</v>
      </c>
      <c r="D169" s="3"/>
      <c r="E169" s="3"/>
      <c r="F169" s="4"/>
      <c r="G169" t="s">
        <v>1613</v>
      </c>
    </row>
    <row r="170" spans="1:7">
      <c r="A170" t="s">
        <v>1780</v>
      </c>
      <c r="B170" t="s">
        <v>607</v>
      </c>
      <c r="C170" s="2">
        <v>46192</v>
      </c>
      <c r="D170" s="3">
        <v>0.42569444444444443</v>
      </c>
      <c r="E170" s="3">
        <v>0.79097222222222219</v>
      </c>
      <c r="F170" s="4">
        <f>IF(OR(D170="",E170=""),"",E170-D170)</f>
        <v>0.36527777777777776</v>
      </c>
      <c r="G170" t="s">
        <v>1615</v>
      </c>
    </row>
    <row r="171" spans="1:7">
      <c r="A171" t="s">
        <v>1781</v>
      </c>
      <c r="B171" t="s">
        <v>610</v>
      </c>
      <c r="C171" s="2">
        <v>46193</v>
      </c>
      <c r="D171" s="3">
        <v>0.3888888888888889</v>
      </c>
      <c r="E171" s="3">
        <v>0.75694444444444442</v>
      </c>
      <c r="F171" s="4">
        <f>IF(OR(D171="",E171=""),"",E171-D171)</f>
        <v>0.36805555555555552</v>
      </c>
      <c r="G171" t="s">
        <v>1610</v>
      </c>
    </row>
    <row r="172" spans="1:7">
      <c r="A172" t="s">
        <v>1782</v>
      </c>
      <c r="B172" t="s">
        <v>613</v>
      </c>
      <c r="C172" s="2">
        <v>46194</v>
      </c>
      <c r="D172" s="3">
        <v>0.39374999999999999</v>
      </c>
      <c r="E172" s="3">
        <v>0.76458333333333328</v>
      </c>
      <c r="F172" s="4">
        <f>IF(OR(D172="",E172=""),"",E172-D172)</f>
        <v>0.37083333333333329</v>
      </c>
      <c r="G172" t="s">
        <v>1610</v>
      </c>
    </row>
    <row r="173" spans="1:7">
      <c r="A173" t="s">
        <v>1783</v>
      </c>
      <c r="B173" t="s">
        <v>616</v>
      </c>
      <c r="C173" s="2">
        <v>46195</v>
      </c>
      <c r="D173" s="3">
        <v>0.39861111111111114</v>
      </c>
      <c r="E173" s="3">
        <v>0.77222222222222225</v>
      </c>
      <c r="F173" s="4">
        <f>IF(OR(D173="",E173=""),"",E173-D173)</f>
        <v>0.37361111111111112</v>
      </c>
      <c r="G173" t="s">
        <v>1610</v>
      </c>
    </row>
    <row r="174" spans="1:7">
      <c r="A174" t="s">
        <v>1784</v>
      </c>
      <c r="B174" t="s">
        <v>619</v>
      </c>
      <c r="C174" s="2">
        <v>46196</v>
      </c>
      <c r="D174" s="3"/>
      <c r="E174" s="3"/>
      <c r="F174" s="4"/>
      <c r="G174" t="s">
        <v>1613</v>
      </c>
    </row>
    <row r="175" spans="1:7">
      <c r="A175" t="s">
        <v>1785</v>
      </c>
      <c r="B175" t="s">
        <v>622</v>
      </c>
      <c r="C175" s="2">
        <v>46197</v>
      </c>
      <c r="D175" s="3">
        <v>0.41875000000000001</v>
      </c>
      <c r="E175" s="3">
        <v>0.78749999999999998</v>
      </c>
      <c r="F175" s="4">
        <f>IF(OR(D175="",E175=""),"",E175-D175)</f>
        <v>0.36874999999999997</v>
      </c>
      <c r="G175" t="s">
        <v>1615</v>
      </c>
    </row>
    <row r="176" spans="1:7">
      <c r="A176" t="s">
        <v>1786</v>
      </c>
      <c r="B176" t="s">
        <v>625</v>
      </c>
      <c r="C176" s="2">
        <v>46198</v>
      </c>
      <c r="D176" s="3">
        <v>0.38194444444444442</v>
      </c>
      <c r="E176" s="3">
        <v>0.75347222222222221</v>
      </c>
      <c r="F176" s="4">
        <f>IF(OR(D176="",E176=""),"",E176-D176)</f>
        <v>0.37152777777777779</v>
      </c>
      <c r="G176" t="s">
        <v>1610</v>
      </c>
    </row>
    <row r="177" spans="1:7">
      <c r="A177" t="s">
        <v>1787</v>
      </c>
      <c r="B177" t="s">
        <v>628</v>
      </c>
      <c r="C177" s="2">
        <v>46199</v>
      </c>
      <c r="D177" s="3">
        <v>0.38680555555555557</v>
      </c>
      <c r="E177" s="3">
        <v>0.76111111111111107</v>
      </c>
      <c r="F177" s="4">
        <f>IF(OR(D177="",E177=""),"",E177-D177)</f>
        <v>0.3743055555555555</v>
      </c>
      <c r="G177" t="s">
        <v>1610</v>
      </c>
    </row>
    <row r="178" spans="1:7">
      <c r="A178" t="s">
        <v>1788</v>
      </c>
      <c r="B178" t="s">
        <v>631</v>
      </c>
      <c r="C178" s="2">
        <v>46200</v>
      </c>
      <c r="D178" s="3">
        <v>0.39166666666666666</v>
      </c>
      <c r="E178" s="3">
        <v>0.76875000000000004</v>
      </c>
      <c r="F178" s="4">
        <f>IF(OR(D178="",E178=""),"",E178-D178)</f>
        <v>0.37708333333333338</v>
      </c>
      <c r="G178" t="s">
        <v>1610</v>
      </c>
    </row>
    <row r="179" spans="1:7">
      <c r="A179" t="s">
        <v>1789</v>
      </c>
      <c r="B179" t="s">
        <v>634</v>
      </c>
      <c r="C179" s="2">
        <v>46201</v>
      </c>
      <c r="D179" s="3"/>
      <c r="E179" s="3"/>
      <c r="F179" s="4"/>
      <c r="G179" t="s">
        <v>1613</v>
      </c>
    </row>
    <row r="180" spans="1:7">
      <c r="A180" t="s">
        <v>1790</v>
      </c>
      <c r="B180" t="s">
        <v>637</v>
      </c>
      <c r="C180" s="2">
        <v>46202</v>
      </c>
      <c r="D180" s="3">
        <v>0.44305555555555554</v>
      </c>
      <c r="E180" s="3">
        <v>0.78402777777777777</v>
      </c>
      <c r="F180" s="4">
        <f>IF(OR(D180="",E180=""),"",E180-D180)</f>
        <v>0.34097222222222223</v>
      </c>
      <c r="G180" t="s">
        <v>1615</v>
      </c>
    </row>
    <row r="181" spans="1:7">
      <c r="A181" t="s">
        <v>1791</v>
      </c>
      <c r="B181" t="s">
        <v>640</v>
      </c>
      <c r="C181" s="2">
        <v>46203</v>
      </c>
      <c r="D181" s="3">
        <v>0.375</v>
      </c>
      <c r="E181" s="3">
        <v>0.75</v>
      </c>
      <c r="F181" s="4">
        <f>IF(OR(D181="",E181=""),"",E181-D181)</f>
        <v>0.375</v>
      </c>
      <c r="G181" t="s">
        <v>1610</v>
      </c>
    </row>
    <row r="182" spans="1:7">
      <c r="A182" t="s">
        <v>1792</v>
      </c>
      <c r="B182" t="s">
        <v>643</v>
      </c>
      <c r="C182" s="2">
        <v>46174</v>
      </c>
      <c r="D182" s="3">
        <v>0.37986111111111109</v>
      </c>
      <c r="E182" s="3">
        <v>0.75763888888888886</v>
      </c>
      <c r="F182" s="4">
        <f>IF(OR(D182="",E182=""),"",E182-D182)</f>
        <v>0.37777777777777777</v>
      </c>
      <c r="G182" t="s">
        <v>1610</v>
      </c>
    </row>
    <row r="183" spans="1:7">
      <c r="A183" t="s">
        <v>1793</v>
      </c>
      <c r="B183" t="s">
        <v>646</v>
      </c>
      <c r="C183" s="2">
        <v>46175</v>
      </c>
      <c r="D183" s="3">
        <v>0.38472222222222224</v>
      </c>
      <c r="E183" s="3">
        <v>0.76527777777777772</v>
      </c>
      <c r="F183" s="4">
        <f>IF(OR(D183="",E183=""),"",E183-D183)</f>
        <v>0.38055555555555548</v>
      </c>
      <c r="G183" t="s">
        <v>1610</v>
      </c>
    </row>
    <row r="184" spans="1:7">
      <c r="A184" t="s">
        <v>1794</v>
      </c>
      <c r="B184" t="s">
        <v>649</v>
      </c>
      <c r="C184" s="2">
        <v>46176</v>
      </c>
      <c r="D184" s="3"/>
      <c r="E184" s="3"/>
      <c r="F184" s="4"/>
      <c r="G184" t="s">
        <v>1613</v>
      </c>
    </row>
    <row r="185" spans="1:7">
      <c r="A185" t="s">
        <v>1795</v>
      </c>
      <c r="B185" t="s">
        <v>652</v>
      </c>
      <c r="C185" s="2">
        <v>46177</v>
      </c>
      <c r="D185" s="3">
        <v>0.43611111111111112</v>
      </c>
      <c r="E185" s="3">
        <v>0.78055555555555556</v>
      </c>
      <c r="F185" s="4">
        <f>IF(OR(D185="",E185=""),"",E185-D185)</f>
        <v>0.34444444444444444</v>
      </c>
      <c r="G185" t="s">
        <v>1615</v>
      </c>
    </row>
    <row r="186" spans="1:7">
      <c r="A186" t="s">
        <v>1796</v>
      </c>
      <c r="B186" t="s">
        <v>655</v>
      </c>
      <c r="C186" s="2">
        <v>46178</v>
      </c>
      <c r="D186" s="3">
        <v>0.39930555555555558</v>
      </c>
      <c r="E186" s="3">
        <v>0.78819444444444442</v>
      </c>
      <c r="F186" s="4">
        <f>IF(OR(D186="",E186=""),"",E186-D186)</f>
        <v>0.38888888888888884</v>
      </c>
      <c r="G186" t="s">
        <v>1610</v>
      </c>
    </row>
    <row r="187" spans="1:7">
      <c r="A187" t="s">
        <v>1797</v>
      </c>
      <c r="B187" t="s">
        <v>658</v>
      </c>
      <c r="C187" s="2">
        <v>46179</v>
      </c>
      <c r="D187" s="3">
        <v>0.40416666666666667</v>
      </c>
      <c r="E187" s="3">
        <v>0.75416666666666665</v>
      </c>
      <c r="F187" s="4">
        <f>IF(OR(D187="",E187=""),"",E187-D187)</f>
        <v>0.35</v>
      </c>
      <c r="G187" t="s">
        <v>1610</v>
      </c>
    </row>
    <row r="188" spans="1:7">
      <c r="A188" t="s">
        <v>1798</v>
      </c>
      <c r="B188" t="s">
        <v>661</v>
      </c>
      <c r="C188" s="2">
        <v>46180</v>
      </c>
      <c r="D188" s="3">
        <v>0.37777777777777777</v>
      </c>
      <c r="E188" s="3">
        <v>0.76180555555555551</v>
      </c>
      <c r="F188" s="4">
        <f>IF(OR(D188="",E188=""),"",E188-D188)</f>
        <v>0.38402777777777775</v>
      </c>
      <c r="G188" t="s">
        <v>1610</v>
      </c>
    </row>
    <row r="189" spans="1:7">
      <c r="A189" t="s">
        <v>1799</v>
      </c>
      <c r="B189" t="s">
        <v>664</v>
      </c>
      <c r="C189" s="2">
        <v>46181</v>
      </c>
      <c r="D189" s="3"/>
      <c r="E189" s="3"/>
      <c r="F189" s="4"/>
      <c r="G189" t="s">
        <v>1613</v>
      </c>
    </row>
    <row r="190" spans="1:7">
      <c r="A190" t="s">
        <v>1800</v>
      </c>
      <c r="B190" t="s">
        <v>667</v>
      </c>
      <c r="C190" s="2">
        <v>46182</v>
      </c>
      <c r="D190" s="3">
        <v>0.42916666666666664</v>
      </c>
      <c r="E190" s="3">
        <v>0.77708333333333335</v>
      </c>
      <c r="F190" s="4">
        <f>IF(OR(D190="",E190=""),"",E190-D190)</f>
        <v>0.34791666666666671</v>
      </c>
      <c r="G190" t="s">
        <v>1615</v>
      </c>
    </row>
    <row r="191" spans="1:7">
      <c r="A191" t="s">
        <v>1801</v>
      </c>
      <c r="B191" t="s">
        <v>670</v>
      </c>
      <c r="C191" s="2">
        <v>46183</v>
      </c>
      <c r="D191" s="3">
        <v>0.3923611111111111</v>
      </c>
      <c r="E191" s="3">
        <v>0.78472222222222221</v>
      </c>
      <c r="F191" s="4">
        <f>IF(OR(D191="",E191=""),"",E191-D191)</f>
        <v>0.3923611111111111</v>
      </c>
      <c r="G191" t="s">
        <v>1610</v>
      </c>
    </row>
    <row r="192" spans="1:7">
      <c r="A192" t="s">
        <v>1802</v>
      </c>
      <c r="B192" t="s">
        <v>673</v>
      </c>
      <c r="C192" s="2">
        <v>46184</v>
      </c>
      <c r="D192" s="3">
        <v>0.3972222222222222</v>
      </c>
      <c r="E192" s="3">
        <v>0.75069444444444444</v>
      </c>
      <c r="F192" s="4">
        <f>IF(OR(D192="",E192=""),"",E192-D192)</f>
        <v>0.35347222222222224</v>
      </c>
      <c r="G192" t="s">
        <v>1610</v>
      </c>
    </row>
    <row r="193" spans="1:7">
      <c r="A193" t="s">
        <v>1803</v>
      </c>
      <c r="B193" t="s">
        <v>676</v>
      </c>
      <c r="C193" s="2">
        <v>46185</v>
      </c>
      <c r="D193" s="3">
        <v>0.40208333333333335</v>
      </c>
      <c r="E193" s="3">
        <v>0.7583333333333333</v>
      </c>
      <c r="F193" s="4">
        <f>IF(OR(D193="",E193=""),"",E193-D193)</f>
        <v>0.35624999999999996</v>
      </c>
      <c r="G193" t="s">
        <v>1610</v>
      </c>
    </row>
    <row r="194" spans="1:7">
      <c r="A194" t="s">
        <v>1804</v>
      </c>
      <c r="B194" t="s">
        <v>679</v>
      </c>
      <c r="C194" s="2">
        <v>46186</v>
      </c>
      <c r="D194" s="3"/>
      <c r="E194" s="3"/>
      <c r="F194" s="4"/>
      <c r="G194" t="s">
        <v>1613</v>
      </c>
    </row>
    <row r="195" spans="1:7">
      <c r="A195" t="s">
        <v>1805</v>
      </c>
      <c r="B195" t="s">
        <v>682</v>
      </c>
      <c r="C195" s="2">
        <v>46187</v>
      </c>
      <c r="D195" s="3">
        <v>0.42222222222222222</v>
      </c>
      <c r="E195" s="3">
        <v>0.77361111111111114</v>
      </c>
      <c r="F195" s="4">
        <f>IF(OR(D195="",E195=""),"",E195-D195)</f>
        <v>0.35138888888888892</v>
      </c>
      <c r="G195" t="s">
        <v>1615</v>
      </c>
    </row>
    <row r="196" spans="1:7">
      <c r="A196" t="s">
        <v>1806</v>
      </c>
      <c r="B196" t="s">
        <v>685</v>
      </c>
      <c r="C196" s="2">
        <v>46188</v>
      </c>
      <c r="D196" s="3">
        <v>0.38541666666666669</v>
      </c>
      <c r="E196" s="3">
        <v>0.78125</v>
      </c>
      <c r="F196" s="4">
        <f>IF(OR(D196="",E196=""),"",E196-D196)</f>
        <v>0.39583333333333331</v>
      </c>
      <c r="G196" t="s">
        <v>1610</v>
      </c>
    </row>
    <row r="197" spans="1:7">
      <c r="A197" t="s">
        <v>1807</v>
      </c>
      <c r="B197" t="s">
        <v>688</v>
      </c>
      <c r="C197" s="2">
        <v>46189</v>
      </c>
      <c r="D197" s="3">
        <v>0.39027777777777778</v>
      </c>
      <c r="E197" s="3">
        <v>0.78888888888888886</v>
      </c>
      <c r="F197" s="4">
        <f>IF(OR(D197="",E197=""),"",E197-D197)</f>
        <v>0.39861111111111108</v>
      </c>
      <c r="G197" t="s">
        <v>1610</v>
      </c>
    </row>
    <row r="198" spans="1:7">
      <c r="A198" t="s">
        <v>1808</v>
      </c>
      <c r="B198" t="s">
        <v>691</v>
      </c>
      <c r="C198" s="2">
        <v>46190</v>
      </c>
      <c r="D198" s="3">
        <v>0.39513888888888887</v>
      </c>
      <c r="E198" s="3">
        <v>0.75486111111111109</v>
      </c>
      <c r="F198" s="4">
        <f>IF(OR(D198="",E198=""),"",E198-D198)</f>
        <v>0.35972222222222222</v>
      </c>
      <c r="G198" t="s">
        <v>1610</v>
      </c>
    </row>
    <row r="199" spans="1:7">
      <c r="A199" t="s">
        <v>1809</v>
      </c>
      <c r="B199" t="s">
        <v>694</v>
      </c>
      <c r="C199" s="2">
        <v>46191</v>
      </c>
      <c r="D199" s="3"/>
      <c r="E199" s="3"/>
      <c r="F199" s="4"/>
      <c r="G199" t="s">
        <v>1613</v>
      </c>
    </row>
    <row r="200" spans="1:7">
      <c r="A200" t="s">
        <v>1810</v>
      </c>
      <c r="B200" t="s">
        <v>697</v>
      </c>
      <c r="C200" s="2">
        <v>46192</v>
      </c>
      <c r="D200" s="3">
        <v>0.4465277777777778</v>
      </c>
      <c r="E200" s="3">
        <v>0.77013888888888893</v>
      </c>
      <c r="F200" s="4">
        <f>IF(OR(D200="",E200=""),"",E200-D200)</f>
        <v>0.32361111111111113</v>
      </c>
      <c r="G200" t="s">
        <v>1615</v>
      </c>
    </row>
    <row r="201" spans="1:7">
      <c r="A201" t="s">
        <v>1811</v>
      </c>
      <c r="B201" t="s">
        <v>700</v>
      </c>
      <c r="C201" s="2">
        <v>46193</v>
      </c>
      <c r="D201" s="3">
        <v>0.37847222222222221</v>
      </c>
      <c r="E201" s="3">
        <v>0.77777777777777779</v>
      </c>
      <c r="F201" s="4">
        <f>IF(OR(D201="",E201=""),"",E201-D201)</f>
        <v>0.39930555555555558</v>
      </c>
      <c r="G201" t="s">
        <v>1610</v>
      </c>
    </row>
    <row r="202" spans="1:7">
      <c r="A202" t="s">
        <v>1812</v>
      </c>
      <c r="B202" t="s">
        <v>703</v>
      </c>
      <c r="C202" s="2">
        <v>46194</v>
      </c>
      <c r="D202" s="3">
        <v>0.38333333333333336</v>
      </c>
      <c r="E202" s="3">
        <v>0.78541666666666665</v>
      </c>
      <c r="F202" s="4">
        <f>IF(OR(D202="",E202=""),"",E202-D202)</f>
        <v>0.40208333333333329</v>
      </c>
      <c r="G202" t="s">
        <v>1610</v>
      </c>
    </row>
    <row r="203" spans="1:7">
      <c r="A203" t="s">
        <v>1813</v>
      </c>
      <c r="B203" t="s">
        <v>706</v>
      </c>
      <c r="C203" s="2">
        <v>46195</v>
      </c>
      <c r="D203" s="3">
        <v>0.38819444444444445</v>
      </c>
      <c r="E203" s="3">
        <v>0.75138888888888888</v>
      </c>
      <c r="F203" s="4">
        <f>IF(OR(D203="",E203=""),"",E203-D203)</f>
        <v>0.36319444444444443</v>
      </c>
      <c r="G203" t="s">
        <v>1610</v>
      </c>
    </row>
    <row r="204" spans="1:7">
      <c r="A204" t="s">
        <v>1814</v>
      </c>
      <c r="B204" t="s">
        <v>709</v>
      </c>
      <c r="C204" s="2">
        <v>46196</v>
      </c>
      <c r="D204" s="3"/>
      <c r="E204" s="3"/>
      <c r="F204" s="4"/>
      <c r="G204" t="s">
        <v>1613</v>
      </c>
    </row>
    <row r="205" spans="1:7">
      <c r="A205" t="s">
        <v>1815</v>
      </c>
      <c r="B205" t="s">
        <v>712</v>
      </c>
      <c r="C205" s="2">
        <v>46197</v>
      </c>
      <c r="D205" s="3">
        <v>0.43958333333333333</v>
      </c>
      <c r="E205" s="3">
        <v>0.76666666666666672</v>
      </c>
      <c r="F205" s="4">
        <f>IF(OR(D205="",E205=""),"",E205-D205)</f>
        <v>0.32708333333333339</v>
      </c>
      <c r="G205" t="s">
        <v>1615</v>
      </c>
    </row>
    <row r="206" spans="1:7">
      <c r="A206" t="s">
        <v>1816</v>
      </c>
      <c r="B206" t="s">
        <v>715</v>
      </c>
      <c r="C206" s="2">
        <v>46198</v>
      </c>
      <c r="D206" s="3">
        <v>0.40277777777777779</v>
      </c>
      <c r="E206" s="3">
        <v>0.77430555555555558</v>
      </c>
      <c r="F206" s="4">
        <f>IF(OR(D206="",E206=""),"",E206-D206)</f>
        <v>0.37152777777777779</v>
      </c>
      <c r="G206" t="s">
        <v>1610</v>
      </c>
    </row>
    <row r="207" spans="1:7">
      <c r="A207" t="s">
        <v>1817</v>
      </c>
      <c r="B207" t="s">
        <v>718</v>
      </c>
      <c r="C207" s="2">
        <v>46199</v>
      </c>
      <c r="D207" s="3">
        <v>0.37638888888888888</v>
      </c>
      <c r="E207" s="3">
        <v>0.78194444444444444</v>
      </c>
      <c r="F207" s="4">
        <f>IF(OR(D207="",E207=""),"",E207-D207)</f>
        <v>0.40555555555555556</v>
      </c>
      <c r="G207" t="s">
        <v>1610</v>
      </c>
    </row>
    <row r="208" spans="1:7">
      <c r="A208" t="s">
        <v>1818</v>
      </c>
      <c r="B208" t="s">
        <v>721</v>
      </c>
      <c r="C208" s="2">
        <v>46200</v>
      </c>
      <c r="D208" s="3">
        <v>0.38124999999999998</v>
      </c>
      <c r="E208" s="3">
        <v>0.7895833333333333</v>
      </c>
      <c r="F208" s="4">
        <f>IF(OR(D208="",E208=""),"",E208-D208)</f>
        <v>0.40833333333333333</v>
      </c>
      <c r="G208" t="s">
        <v>1610</v>
      </c>
    </row>
    <row r="209" spans="1:7">
      <c r="A209" t="s">
        <v>1819</v>
      </c>
      <c r="B209" t="s">
        <v>724</v>
      </c>
      <c r="C209" s="2">
        <v>46201</v>
      </c>
      <c r="D209" s="3"/>
      <c r="E209" s="3"/>
      <c r="F209" s="4"/>
      <c r="G209" t="s">
        <v>1613</v>
      </c>
    </row>
    <row r="210" spans="1:7">
      <c r="A210" t="s">
        <v>1820</v>
      </c>
      <c r="B210" t="s">
        <v>727</v>
      </c>
      <c r="C210" s="2">
        <v>46202</v>
      </c>
      <c r="D210" s="3">
        <v>0.43263888888888891</v>
      </c>
      <c r="E210" s="3">
        <v>0.7631944444444444</v>
      </c>
      <c r="F210" s="4">
        <f>IF(OR(D210="",E210=""),"",E210-D210)</f>
        <v>0.33055555555555549</v>
      </c>
      <c r="G210" t="s">
        <v>1615</v>
      </c>
    </row>
    <row r="211" spans="1:7">
      <c r="A211" t="s">
        <v>1821</v>
      </c>
      <c r="B211" t="s">
        <v>730</v>
      </c>
      <c r="C211" s="2">
        <v>46203</v>
      </c>
      <c r="D211" s="3">
        <v>0.39583333333333331</v>
      </c>
      <c r="E211" s="3">
        <v>0.77083333333333337</v>
      </c>
      <c r="F211" s="4">
        <f>IF(OR(D211="",E211=""),"",E211-D211)</f>
        <v>0.37500000000000006</v>
      </c>
      <c r="G211" t="s">
        <v>1610</v>
      </c>
    </row>
    <row r="212" spans="1:7">
      <c r="A212" t="s">
        <v>1822</v>
      </c>
      <c r="B212" t="s">
        <v>733</v>
      </c>
      <c r="C212" s="2">
        <v>46174</v>
      </c>
      <c r="D212" s="3">
        <v>0.40069444444444446</v>
      </c>
      <c r="E212" s="3">
        <v>0.77847222222222223</v>
      </c>
      <c r="F212" s="4">
        <f>IF(OR(D212="",E212=""),"",E212-D212)</f>
        <v>0.37777777777777777</v>
      </c>
      <c r="G212" t="s">
        <v>1610</v>
      </c>
    </row>
    <row r="213" spans="1:7">
      <c r="A213" t="s">
        <v>1823</v>
      </c>
      <c r="B213" t="s">
        <v>736</v>
      </c>
      <c r="C213" s="2">
        <v>46175</v>
      </c>
      <c r="D213" s="3">
        <v>0.40555555555555556</v>
      </c>
      <c r="E213" s="3">
        <v>0.78611111111111109</v>
      </c>
      <c r="F213" s="4">
        <f>IF(OR(D213="",E213=""),"",E213-D213)</f>
        <v>0.38055555555555554</v>
      </c>
      <c r="G213" t="s">
        <v>1610</v>
      </c>
    </row>
    <row r="214" spans="1:7">
      <c r="A214" t="s">
        <v>1824</v>
      </c>
      <c r="B214" t="s">
        <v>739</v>
      </c>
      <c r="C214" s="2">
        <v>46176</v>
      </c>
      <c r="D214" s="3"/>
      <c r="E214" s="3"/>
      <c r="F214" s="4"/>
      <c r="G214" t="s">
        <v>1613</v>
      </c>
    </row>
    <row r="215" spans="1:7">
      <c r="A215" t="s">
        <v>1825</v>
      </c>
      <c r="B215" t="s">
        <v>742</v>
      </c>
      <c r="C215" s="2">
        <v>46177</v>
      </c>
      <c r="D215" s="3">
        <v>0.42569444444444443</v>
      </c>
      <c r="E215" s="3">
        <v>0.75972222222222219</v>
      </c>
      <c r="F215" s="4">
        <f>IF(OR(D215="",E215=""),"",E215-D215)</f>
        <v>0.33402777777777776</v>
      </c>
      <c r="G215" t="s">
        <v>1615</v>
      </c>
    </row>
    <row r="216" spans="1:7">
      <c r="A216" t="s">
        <v>1826</v>
      </c>
      <c r="B216" t="s">
        <v>745</v>
      </c>
      <c r="C216" s="2">
        <v>46178</v>
      </c>
      <c r="D216" s="3">
        <v>0.3888888888888889</v>
      </c>
      <c r="E216" s="3">
        <v>0.76736111111111116</v>
      </c>
      <c r="F216" s="4">
        <f>IF(OR(D216="",E216=""),"",E216-D216)</f>
        <v>0.37847222222222227</v>
      </c>
      <c r="G216" t="s">
        <v>1610</v>
      </c>
    </row>
    <row r="217" spans="1:7">
      <c r="A217" t="s">
        <v>1827</v>
      </c>
      <c r="B217" t="s">
        <v>748</v>
      </c>
      <c r="C217" s="2">
        <v>46179</v>
      </c>
      <c r="D217" s="3">
        <v>0.39374999999999999</v>
      </c>
      <c r="E217" s="3">
        <v>0.77500000000000002</v>
      </c>
      <c r="F217" s="4">
        <f>IF(OR(D217="",E217=""),"",E217-D217)</f>
        <v>0.38125000000000003</v>
      </c>
      <c r="G217" t="s">
        <v>1610</v>
      </c>
    </row>
    <row r="218" spans="1:7">
      <c r="A218" t="s">
        <v>1828</v>
      </c>
      <c r="B218" t="s">
        <v>751</v>
      </c>
      <c r="C218" s="2">
        <v>46180</v>
      </c>
      <c r="D218" s="3">
        <v>0.39861111111111114</v>
      </c>
      <c r="E218" s="3">
        <v>0.78263888888888888</v>
      </c>
      <c r="F218" s="4">
        <f>IF(OR(D218="",E218=""),"",E218-D218)</f>
        <v>0.38402777777777775</v>
      </c>
      <c r="G218" t="s">
        <v>1610</v>
      </c>
    </row>
    <row r="219" spans="1:7">
      <c r="A219" t="s">
        <v>1829</v>
      </c>
      <c r="B219" t="s">
        <v>754</v>
      </c>
      <c r="C219" s="2">
        <v>46181</v>
      </c>
      <c r="D219" s="3"/>
      <c r="E219" s="3"/>
      <c r="F219" s="4"/>
      <c r="G219" t="s">
        <v>1613</v>
      </c>
    </row>
    <row r="220" spans="1:7">
      <c r="A220" t="s">
        <v>1830</v>
      </c>
      <c r="B220" t="s">
        <v>757</v>
      </c>
      <c r="C220" s="2">
        <v>46182</v>
      </c>
      <c r="D220" s="3">
        <v>0.41875000000000001</v>
      </c>
      <c r="E220" s="3">
        <v>0.75624999999999998</v>
      </c>
      <c r="F220" s="4">
        <f>IF(OR(D220="",E220=""),"",E220-D220)</f>
        <v>0.33749999999999997</v>
      </c>
      <c r="G220" t="s">
        <v>1615</v>
      </c>
    </row>
    <row r="221" spans="1:7">
      <c r="A221" t="s">
        <v>1831</v>
      </c>
      <c r="B221" t="s">
        <v>760</v>
      </c>
      <c r="C221" s="2">
        <v>46183</v>
      </c>
      <c r="D221" s="3">
        <v>0.38194444444444442</v>
      </c>
      <c r="E221" s="3">
        <v>0.76388888888888884</v>
      </c>
      <c r="F221" s="4">
        <f>IF(OR(D221="",E221=""),"",E221-D221)</f>
        <v>0.38194444444444442</v>
      </c>
      <c r="G221" t="s">
        <v>1610</v>
      </c>
    </row>
    <row r="222" spans="1:7">
      <c r="A222" t="s">
        <v>1832</v>
      </c>
      <c r="B222" t="s">
        <v>763</v>
      </c>
      <c r="C222" s="2">
        <v>46184</v>
      </c>
      <c r="D222" s="3">
        <v>0.38680555555555557</v>
      </c>
      <c r="E222" s="3">
        <v>0.77152777777777781</v>
      </c>
      <c r="F222" s="4">
        <f>IF(OR(D222="",E222=""),"",E222-D222)</f>
        <v>0.38472222222222224</v>
      </c>
      <c r="G222" t="s">
        <v>1610</v>
      </c>
    </row>
    <row r="223" spans="1:7">
      <c r="A223" t="s">
        <v>1833</v>
      </c>
      <c r="B223" t="s">
        <v>766</v>
      </c>
      <c r="C223" s="2">
        <v>46185</v>
      </c>
      <c r="D223" s="3">
        <v>0.39166666666666666</v>
      </c>
      <c r="E223" s="3">
        <v>0.77916666666666667</v>
      </c>
      <c r="F223" s="4">
        <f>IF(OR(D223="",E223=""),"",E223-D223)</f>
        <v>0.38750000000000001</v>
      </c>
      <c r="G223" t="s">
        <v>1610</v>
      </c>
    </row>
    <row r="224" spans="1:7">
      <c r="A224" t="s">
        <v>1834</v>
      </c>
      <c r="B224" t="s">
        <v>769</v>
      </c>
      <c r="C224" s="2">
        <v>46186</v>
      </c>
      <c r="D224" s="3"/>
      <c r="E224" s="3"/>
      <c r="F224" s="4"/>
      <c r="G224" t="s">
        <v>1613</v>
      </c>
    </row>
    <row r="225" spans="1:7">
      <c r="A225" t="s">
        <v>1835</v>
      </c>
      <c r="B225" t="s">
        <v>772</v>
      </c>
      <c r="C225" s="2">
        <v>46187</v>
      </c>
      <c r="D225" s="3">
        <v>0.44305555555555554</v>
      </c>
      <c r="E225" s="3">
        <v>0.75277777777777777</v>
      </c>
      <c r="F225" s="4">
        <f>IF(OR(D225="",E225=""),"",E225-D225)</f>
        <v>0.30972222222222223</v>
      </c>
      <c r="G225" t="s">
        <v>1615</v>
      </c>
    </row>
    <row r="226" spans="1:7">
      <c r="A226" t="s">
        <v>1836</v>
      </c>
      <c r="B226" t="s">
        <v>775</v>
      </c>
      <c r="C226" s="2">
        <v>46188</v>
      </c>
      <c r="D226" s="3">
        <v>0.375</v>
      </c>
      <c r="E226" s="3">
        <v>0.76041666666666663</v>
      </c>
      <c r="F226" s="4">
        <f>IF(OR(D226="",E226=""),"",E226-D226)</f>
        <v>0.38541666666666663</v>
      </c>
      <c r="G226" t="s">
        <v>1610</v>
      </c>
    </row>
    <row r="227" spans="1:7">
      <c r="A227" t="s">
        <v>1837</v>
      </c>
      <c r="B227" t="s">
        <v>778</v>
      </c>
      <c r="C227" s="2">
        <v>46189</v>
      </c>
      <c r="D227" s="3">
        <v>0.37986111111111109</v>
      </c>
      <c r="E227" s="3">
        <v>0.7680555555555556</v>
      </c>
      <c r="F227" s="4">
        <f>IF(OR(D227="",E227=""),"",E227-D227)</f>
        <v>0.38819444444444451</v>
      </c>
      <c r="G227" t="s">
        <v>1610</v>
      </c>
    </row>
    <row r="228" spans="1:7">
      <c r="A228" t="s">
        <v>1838</v>
      </c>
      <c r="B228" t="s">
        <v>781</v>
      </c>
      <c r="C228" s="2">
        <v>46190</v>
      </c>
      <c r="D228" s="3">
        <v>0.38472222222222224</v>
      </c>
      <c r="E228" s="3">
        <v>0.77569444444444446</v>
      </c>
      <c r="F228" s="4">
        <f>IF(OR(D228="",E228=""),"",E228-D228)</f>
        <v>0.39097222222222222</v>
      </c>
      <c r="G228" t="s">
        <v>1610</v>
      </c>
    </row>
    <row r="229" spans="1:7">
      <c r="A229" t="s">
        <v>1839</v>
      </c>
      <c r="B229" t="s">
        <v>784</v>
      </c>
      <c r="C229" s="2">
        <v>46191</v>
      </c>
      <c r="D229" s="3"/>
      <c r="E229" s="3"/>
      <c r="F229" s="4"/>
      <c r="G229" t="s">
        <v>1613</v>
      </c>
    </row>
    <row r="230" spans="1:7">
      <c r="A230" t="s">
        <v>1840</v>
      </c>
      <c r="B230" t="s">
        <v>787</v>
      </c>
      <c r="C230" s="2">
        <v>46192</v>
      </c>
      <c r="D230" s="3">
        <v>0.43611111111111112</v>
      </c>
      <c r="E230" s="3">
        <v>0.79097222222222219</v>
      </c>
      <c r="F230" s="4">
        <f>IF(OR(D230="",E230=""),"",E230-D230)</f>
        <v>0.35486111111111107</v>
      </c>
      <c r="G230" t="s">
        <v>1615</v>
      </c>
    </row>
    <row r="231" spans="1:7">
      <c r="A231" t="s">
        <v>1841</v>
      </c>
      <c r="B231" t="s">
        <v>790</v>
      </c>
      <c r="C231" s="2">
        <v>46193</v>
      </c>
      <c r="D231" s="3">
        <v>0.39930555555555558</v>
      </c>
      <c r="E231" s="3">
        <v>0.75694444444444442</v>
      </c>
      <c r="F231" s="4">
        <f>IF(OR(D231="",E231=""),"",E231-D231)</f>
        <v>0.35763888888888884</v>
      </c>
      <c r="G231" t="s">
        <v>1610</v>
      </c>
    </row>
    <row r="232" spans="1:7">
      <c r="A232" t="s">
        <v>1842</v>
      </c>
      <c r="B232" t="s">
        <v>793</v>
      </c>
      <c r="C232" s="2">
        <v>46194</v>
      </c>
      <c r="D232" s="3">
        <v>0.40416666666666667</v>
      </c>
      <c r="E232" s="3">
        <v>0.76458333333333328</v>
      </c>
      <c r="F232" s="4">
        <f>IF(OR(D232="",E232=""),"",E232-D232)</f>
        <v>0.36041666666666661</v>
      </c>
      <c r="G232" t="s">
        <v>1610</v>
      </c>
    </row>
    <row r="233" spans="1:7">
      <c r="A233" t="s">
        <v>1843</v>
      </c>
      <c r="B233" t="s">
        <v>796</v>
      </c>
      <c r="C233" s="2">
        <v>46195</v>
      </c>
      <c r="D233" s="3">
        <v>0.37777777777777777</v>
      </c>
      <c r="E233" s="3">
        <v>0.77222222222222225</v>
      </c>
      <c r="F233" s="4">
        <f>IF(OR(D233="",E233=""),"",E233-D233)</f>
        <v>0.39444444444444449</v>
      </c>
      <c r="G233" t="s">
        <v>1610</v>
      </c>
    </row>
    <row r="234" spans="1:7">
      <c r="A234" t="s">
        <v>1844</v>
      </c>
      <c r="B234" t="s">
        <v>799</v>
      </c>
      <c r="C234" s="2">
        <v>46196</v>
      </c>
      <c r="D234" s="3"/>
      <c r="E234" s="3"/>
      <c r="F234" s="4"/>
      <c r="G234" t="s">
        <v>1613</v>
      </c>
    </row>
    <row r="235" spans="1:7">
      <c r="A235" t="s">
        <v>1845</v>
      </c>
      <c r="B235" t="s">
        <v>802</v>
      </c>
      <c r="C235" s="2">
        <v>46197</v>
      </c>
      <c r="D235" s="3">
        <v>0.42916666666666664</v>
      </c>
      <c r="E235" s="3">
        <v>0.78749999999999998</v>
      </c>
      <c r="F235" s="4">
        <f>IF(OR(D235="",E235=""),"",E235-D235)</f>
        <v>0.35833333333333334</v>
      </c>
      <c r="G235" t="s">
        <v>1615</v>
      </c>
    </row>
    <row r="236" spans="1:7">
      <c r="A236" t="s">
        <v>1846</v>
      </c>
      <c r="B236" t="s">
        <v>805</v>
      </c>
      <c r="C236" s="2">
        <v>46198</v>
      </c>
      <c r="D236" s="3">
        <v>0.3923611111111111</v>
      </c>
      <c r="E236" s="3">
        <v>0.75347222222222221</v>
      </c>
      <c r="F236" s="4">
        <f>IF(OR(D236="",E236=""),"",E236-D236)</f>
        <v>0.3611111111111111</v>
      </c>
      <c r="G236" t="s">
        <v>1610</v>
      </c>
    </row>
    <row r="237" spans="1:7">
      <c r="A237" t="s">
        <v>1847</v>
      </c>
      <c r="B237" t="s">
        <v>808</v>
      </c>
      <c r="C237" s="2">
        <v>46199</v>
      </c>
      <c r="D237" s="3">
        <v>0.3972222222222222</v>
      </c>
      <c r="E237" s="3">
        <v>0.76111111111111107</v>
      </c>
      <c r="F237" s="4">
        <f>IF(OR(D237="",E237=""),"",E237-D237)</f>
        <v>0.36388888888888887</v>
      </c>
      <c r="G237" t="s">
        <v>1610</v>
      </c>
    </row>
    <row r="238" spans="1:7">
      <c r="A238" t="s">
        <v>1848</v>
      </c>
      <c r="B238" t="s">
        <v>811</v>
      </c>
      <c r="C238" s="2">
        <v>46200</v>
      </c>
      <c r="D238" s="3">
        <v>0.40208333333333335</v>
      </c>
      <c r="E238" s="3">
        <v>0.76875000000000004</v>
      </c>
      <c r="F238" s="4">
        <f>IF(OR(D238="",E238=""),"",E238-D238)</f>
        <v>0.3666666666666667</v>
      </c>
      <c r="G238" t="s">
        <v>1610</v>
      </c>
    </row>
    <row r="239" spans="1:7">
      <c r="A239" t="s">
        <v>1849</v>
      </c>
      <c r="B239" t="s">
        <v>814</v>
      </c>
      <c r="C239" s="2">
        <v>46201</v>
      </c>
      <c r="D239" s="3"/>
      <c r="E239" s="3"/>
      <c r="F239" s="4"/>
      <c r="G239" t="s">
        <v>1613</v>
      </c>
    </row>
    <row r="240" spans="1:7">
      <c r="A240" t="s">
        <v>1850</v>
      </c>
      <c r="B240" t="s">
        <v>817</v>
      </c>
      <c r="C240" s="2">
        <v>46202</v>
      </c>
      <c r="D240" s="3">
        <v>0.42222222222222222</v>
      </c>
      <c r="E240" s="3">
        <v>0.78402777777777777</v>
      </c>
      <c r="F240" s="4">
        <f>IF(OR(D240="",E240=""),"",E240-D240)</f>
        <v>0.36180555555555555</v>
      </c>
      <c r="G240" t="s">
        <v>1615</v>
      </c>
    </row>
    <row r="241" spans="1:7">
      <c r="A241" t="s">
        <v>1851</v>
      </c>
      <c r="B241" t="s">
        <v>820</v>
      </c>
      <c r="C241" s="2">
        <v>46203</v>
      </c>
      <c r="D241" s="3">
        <v>0.38541666666666669</v>
      </c>
      <c r="E241" s="3">
        <v>0.75</v>
      </c>
      <c r="F241" s="4">
        <f>IF(OR(D241="",E241=""),"",E241-D241)</f>
        <v>0.36458333333333331</v>
      </c>
      <c r="G241" t="s">
        <v>1610</v>
      </c>
    </row>
    <row r="242" spans="1:7">
      <c r="A242" t="s">
        <v>1852</v>
      </c>
      <c r="B242" t="s">
        <v>823</v>
      </c>
      <c r="C242" s="2">
        <v>46174</v>
      </c>
      <c r="D242" s="3">
        <v>0.39027777777777778</v>
      </c>
      <c r="E242" s="3">
        <v>0.75763888888888886</v>
      </c>
      <c r="F242" s="4">
        <f>IF(OR(D242="",E242=""),"",E242-D242)</f>
        <v>0.36736111111111108</v>
      </c>
      <c r="G242" t="s">
        <v>1610</v>
      </c>
    </row>
    <row r="243" spans="1:7">
      <c r="A243" t="s">
        <v>1853</v>
      </c>
      <c r="B243" t="s">
        <v>826</v>
      </c>
      <c r="C243" s="2">
        <v>46175</v>
      </c>
      <c r="D243" s="3">
        <v>0.39513888888888887</v>
      </c>
      <c r="E243" s="3">
        <v>0.76527777777777772</v>
      </c>
      <c r="F243" s="4">
        <f>IF(OR(D243="",E243=""),"",E243-D243)</f>
        <v>0.37013888888888885</v>
      </c>
      <c r="G243" t="s">
        <v>1610</v>
      </c>
    </row>
    <row r="244" spans="1:7">
      <c r="A244" t="s">
        <v>1854</v>
      </c>
      <c r="B244" t="s">
        <v>829</v>
      </c>
      <c r="C244" s="2">
        <v>46176</v>
      </c>
      <c r="D244" s="3"/>
      <c r="E244" s="3"/>
      <c r="F244" s="4"/>
      <c r="G244" t="s">
        <v>1613</v>
      </c>
    </row>
    <row r="245" spans="1:7">
      <c r="A245" t="s">
        <v>1855</v>
      </c>
      <c r="B245" t="s">
        <v>832</v>
      </c>
      <c r="C245" s="2">
        <v>46177</v>
      </c>
      <c r="D245" s="3">
        <v>0.4465277777777778</v>
      </c>
      <c r="E245" s="3">
        <v>0.78055555555555556</v>
      </c>
      <c r="F245" s="4">
        <f>IF(OR(D245="",E245=""),"",E245-D245)</f>
        <v>0.33402777777777776</v>
      </c>
      <c r="G245" t="s">
        <v>1615</v>
      </c>
    </row>
    <row r="246" spans="1:7">
      <c r="A246" t="s">
        <v>1856</v>
      </c>
      <c r="B246" t="s">
        <v>835</v>
      </c>
      <c r="C246" s="2">
        <v>46178</v>
      </c>
      <c r="D246" s="3">
        <v>0.37847222222222221</v>
      </c>
      <c r="E246" s="3">
        <v>0.78819444444444442</v>
      </c>
      <c r="F246" s="4">
        <f>IF(OR(D246="",E246=""),"",E246-D246)</f>
        <v>0.40972222222222221</v>
      </c>
      <c r="G246" t="s">
        <v>1610</v>
      </c>
    </row>
    <row r="247" spans="1:7">
      <c r="A247" t="s">
        <v>1857</v>
      </c>
      <c r="B247" t="s">
        <v>838</v>
      </c>
      <c r="C247" s="2">
        <v>46179</v>
      </c>
      <c r="D247" s="3">
        <v>0.38333333333333336</v>
      </c>
      <c r="E247" s="3">
        <v>0.75416666666666665</v>
      </c>
      <c r="F247" s="4">
        <f>IF(OR(D247="",E247=""),"",E247-D247)</f>
        <v>0.37083333333333329</v>
      </c>
      <c r="G247" t="s">
        <v>1610</v>
      </c>
    </row>
    <row r="248" spans="1:7">
      <c r="A248" t="s">
        <v>1858</v>
      </c>
      <c r="B248" t="s">
        <v>841</v>
      </c>
      <c r="C248" s="2">
        <v>46180</v>
      </c>
      <c r="D248" s="3">
        <v>0.38819444444444445</v>
      </c>
      <c r="E248" s="3">
        <v>0.76180555555555551</v>
      </c>
      <c r="F248" s="4">
        <f>IF(OR(D248="",E248=""),"",E248-D248)</f>
        <v>0.37361111111111106</v>
      </c>
      <c r="G248" t="s">
        <v>1610</v>
      </c>
    </row>
    <row r="249" spans="1:7">
      <c r="A249" t="s">
        <v>1859</v>
      </c>
      <c r="B249" t="s">
        <v>844</v>
      </c>
      <c r="C249" s="2">
        <v>46181</v>
      </c>
      <c r="D249" s="3"/>
      <c r="E249" s="3"/>
      <c r="F249" s="4"/>
      <c r="G249" t="s">
        <v>1613</v>
      </c>
    </row>
    <row r="250" spans="1:7">
      <c r="A250" t="s">
        <v>1860</v>
      </c>
      <c r="B250" t="s">
        <v>847</v>
      </c>
      <c r="C250" s="2">
        <v>46182</v>
      </c>
      <c r="D250" s="3">
        <v>0.43958333333333333</v>
      </c>
      <c r="E250" s="3">
        <v>0.77708333333333335</v>
      </c>
      <c r="F250" s="4">
        <f>IF(OR(D250="",E250=""),"",E250-D250)</f>
        <v>0.33750000000000002</v>
      </c>
      <c r="G250" t="s">
        <v>1615</v>
      </c>
    </row>
    <row r="251" spans="1:7">
      <c r="A251" t="s">
        <v>1861</v>
      </c>
      <c r="B251" t="s">
        <v>850</v>
      </c>
      <c r="C251" s="2">
        <v>46183</v>
      </c>
      <c r="D251" s="3">
        <v>0.40277777777777779</v>
      </c>
      <c r="E251" s="3">
        <v>0.78472222222222221</v>
      </c>
      <c r="F251" s="4">
        <f>IF(OR(D251="",E251=""),"",E251-D251)</f>
        <v>0.38194444444444442</v>
      </c>
      <c r="G251" t="s">
        <v>1610</v>
      </c>
    </row>
    <row r="252" spans="1:7">
      <c r="A252" t="s">
        <v>1862</v>
      </c>
      <c r="B252" t="s">
        <v>853</v>
      </c>
      <c r="C252" s="2">
        <v>46184</v>
      </c>
      <c r="D252" s="3">
        <v>0.37638888888888888</v>
      </c>
      <c r="E252" s="3">
        <v>0.75069444444444444</v>
      </c>
      <c r="F252" s="4">
        <f>IF(OR(D252="",E252=""),"",E252-D252)</f>
        <v>0.37430555555555556</v>
      </c>
      <c r="G252" t="s">
        <v>1610</v>
      </c>
    </row>
    <row r="253" spans="1:7">
      <c r="A253" t="s">
        <v>1863</v>
      </c>
      <c r="B253" t="s">
        <v>856</v>
      </c>
      <c r="C253" s="2">
        <v>46185</v>
      </c>
      <c r="D253" s="3">
        <v>0.38124999999999998</v>
      </c>
      <c r="E253" s="3">
        <v>0.7583333333333333</v>
      </c>
      <c r="F253" s="4">
        <f>IF(OR(D253="",E253=""),"",E253-D253)</f>
        <v>0.37708333333333333</v>
      </c>
      <c r="G253" t="s">
        <v>1610</v>
      </c>
    </row>
    <row r="254" spans="1:7">
      <c r="A254" t="s">
        <v>1864</v>
      </c>
      <c r="B254" t="s">
        <v>859</v>
      </c>
      <c r="C254" s="2">
        <v>46186</v>
      </c>
      <c r="D254" s="3"/>
      <c r="E254" s="3"/>
      <c r="F254" s="4"/>
      <c r="G254" t="s">
        <v>1613</v>
      </c>
    </row>
    <row r="255" spans="1:7">
      <c r="A255" t="s">
        <v>1865</v>
      </c>
      <c r="B255" t="s">
        <v>862</v>
      </c>
      <c r="C255" s="2">
        <v>46187</v>
      </c>
      <c r="D255" s="3">
        <v>0.43263888888888891</v>
      </c>
      <c r="E255" s="3">
        <v>0.77361111111111114</v>
      </c>
      <c r="F255" s="4">
        <f>IF(OR(D255="",E255=""),"",E255-D255)</f>
        <v>0.34097222222222223</v>
      </c>
      <c r="G255" t="s">
        <v>1615</v>
      </c>
    </row>
    <row r="256" spans="1:7">
      <c r="A256" t="s">
        <v>1866</v>
      </c>
      <c r="B256" t="s">
        <v>865</v>
      </c>
      <c r="C256" s="2">
        <v>46188</v>
      </c>
      <c r="D256" s="3">
        <v>0.39583333333333331</v>
      </c>
      <c r="E256" s="3">
        <v>0.78125</v>
      </c>
      <c r="F256" s="4">
        <f>IF(OR(D256="",E256=""),"",E256-D256)</f>
        <v>0.38541666666666669</v>
      </c>
      <c r="G256" t="s">
        <v>1610</v>
      </c>
    </row>
    <row r="257" spans="1:7">
      <c r="A257" t="s">
        <v>1867</v>
      </c>
      <c r="B257" t="s">
        <v>868</v>
      </c>
      <c r="C257" s="2">
        <v>46189</v>
      </c>
      <c r="D257" s="3">
        <v>0.40069444444444446</v>
      </c>
      <c r="E257" s="3">
        <v>0.78888888888888886</v>
      </c>
      <c r="F257" s="4">
        <f>IF(OR(D257="",E257=""),"",E257-D257)</f>
        <v>0.3881944444444444</v>
      </c>
      <c r="G257" t="s">
        <v>1610</v>
      </c>
    </row>
    <row r="258" spans="1:7">
      <c r="A258" t="s">
        <v>1868</v>
      </c>
      <c r="B258" t="s">
        <v>871</v>
      </c>
      <c r="C258" s="2">
        <v>46190</v>
      </c>
      <c r="D258" s="3">
        <v>0.40555555555555556</v>
      </c>
      <c r="E258" s="3">
        <v>0.75486111111111109</v>
      </c>
      <c r="F258" s="4">
        <f>IF(OR(D258="",E258=""),"",E258-D258)</f>
        <v>0.34930555555555554</v>
      </c>
      <c r="G258" t="s">
        <v>1610</v>
      </c>
    </row>
    <row r="259" spans="1:7">
      <c r="A259" t="s">
        <v>1869</v>
      </c>
      <c r="B259" t="s">
        <v>874</v>
      </c>
      <c r="C259" s="2">
        <v>46191</v>
      </c>
      <c r="D259" s="3"/>
      <c r="E259" s="3"/>
      <c r="F259" s="4"/>
      <c r="G259" t="s">
        <v>1613</v>
      </c>
    </row>
    <row r="260" spans="1:7">
      <c r="A260" t="s">
        <v>1870</v>
      </c>
      <c r="B260" t="s">
        <v>877</v>
      </c>
      <c r="C260" s="2">
        <v>46192</v>
      </c>
      <c r="D260" s="3">
        <v>0.42569444444444443</v>
      </c>
      <c r="E260" s="3">
        <v>0.77013888888888893</v>
      </c>
      <c r="F260" s="4">
        <f>IF(OR(D260="",E260=""),"",E260-D260)</f>
        <v>0.3444444444444445</v>
      </c>
      <c r="G260" t="s">
        <v>1615</v>
      </c>
    </row>
    <row r="261" spans="1:7">
      <c r="A261" t="s">
        <v>1871</v>
      </c>
      <c r="B261" t="s">
        <v>880</v>
      </c>
      <c r="C261" s="2">
        <v>46193</v>
      </c>
      <c r="D261" s="3">
        <v>0.3888888888888889</v>
      </c>
      <c r="E261" s="3">
        <v>0.77777777777777779</v>
      </c>
      <c r="F261" s="4">
        <f>IF(OR(D261="",E261=""),"",E261-D261)</f>
        <v>0.3888888888888889</v>
      </c>
      <c r="G261" t="s">
        <v>1610</v>
      </c>
    </row>
    <row r="262" spans="1:7">
      <c r="A262" t="s">
        <v>1872</v>
      </c>
      <c r="B262" t="s">
        <v>883</v>
      </c>
      <c r="C262" s="2">
        <v>46194</v>
      </c>
      <c r="D262" s="3">
        <v>0.39374999999999999</v>
      </c>
      <c r="E262" s="3">
        <v>0.78541666666666665</v>
      </c>
      <c r="F262" s="4">
        <f>IF(OR(D262="",E262=""),"",E262-D262)</f>
        <v>0.39166666666666666</v>
      </c>
      <c r="G262" t="s">
        <v>1610</v>
      </c>
    </row>
    <row r="263" spans="1:7">
      <c r="A263" t="s">
        <v>1873</v>
      </c>
      <c r="B263" t="s">
        <v>886</v>
      </c>
      <c r="C263" s="2">
        <v>46195</v>
      </c>
      <c r="D263" s="3">
        <v>0.39861111111111114</v>
      </c>
      <c r="E263" s="3">
        <v>0.75138888888888888</v>
      </c>
      <c r="F263" s="4">
        <f>IF(OR(D263="",E263=""),"",E263-D263)</f>
        <v>0.35277777777777775</v>
      </c>
      <c r="G263" t="s">
        <v>1610</v>
      </c>
    </row>
    <row r="264" spans="1:7">
      <c r="A264" t="s">
        <v>1874</v>
      </c>
      <c r="B264" t="s">
        <v>889</v>
      </c>
      <c r="C264" s="2">
        <v>46196</v>
      </c>
      <c r="D264" s="3"/>
      <c r="E264" s="3"/>
      <c r="F264" s="4"/>
      <c r="G264" t="s">
        <v>1613</v>
      </c>
    </row>
    <row r="265" spans="1:7">
      <c r="A265" t="s">
        <v>1875</v>
      </c>
      <c r="B265" t="s">
        <v>892</v>
      </c>
      <c r="C265" s="2">
        <v>46197</v>
      </c>
      <c r="D265" s="3">
        <v>0.41875000000000001</v>
      </c>
      <c r="E265" s="3">
        <v>0.76666666666666672</v>
      </c>
      <c r="F265" s="4">
        <f>IF(OR(D265="",E265=""),"",E265-D265)</f>
        <v>0.34791666666666671</v>
      </c>
      <c r="G265" t="s">
        <v>1615</v>
      </c>
    </row>
    <row r="266" spans="1:7">
      <c r="A266" t="s">
        <v>1876</v>
      </c>
      <c r="B266" t="s">
        <v>895</v>
      </c>
      <c r="C266" s="2">
        <v>46198</v>
      </c>
      <c r="D266" s="3">
        <v>0.38194444444444442</v>
      </c>
      <c r="E266" s="3">
        <v>0.77430555555555558</v>
      </c>
      <c r="F266" s="4">
        <f>IF(OR(D266="",E266=""),"",E266-D266)</f>
        <v>0.39236111111111116</v>
      </c>
      <c r="G266" t="s">
        <v>1610</v>
      </c>
    </row>
    <row r="267" spans="1:7">
      <c r="A267" t="s">
        <v>1877</v>
      </c>
      <c r="B267" t="s">
        <v>898</v>
      </c>
      <c r="C267" s="2">
        <v>46199</v>
      </c>
      <c r="D267" s="3">
        <v>0.38680555555555557</v>
      </c>
      <c r="E267" s="3">
        <v>0.78194444444444444</v>
      </c>
      <c r="F267" s="4">
        <f>IF(OR(D267="",E267=""),"",E267-D267)</f>
        <v>0.39513888888888887</v>
      </c>
      <c r="G267" t="s">
        <v>1610</v>
      </c>
    </row>
    <row r="268" spans="1:7">
      <c r="A268" t="s">
        <v>1878</v>
      </c>
      <c r="B268" t="s">
        <v>901</v>
      </c>
      <c r="C268" s="2">
        <v>46200</v>
      </c>
      <c r="D268" s="3">
        <v>0.39166666666666666</v>
      </c>
      <c r="E268" s="3">
        <v>0.7895833333333333</v>
      </c>
      <c r="F268" s="4">
        <f>IF(OR(D268="",E268=""),"",E268-D268)</f>
        <v>0.39791666666666664</v>
      </c>
      <c r="G268" t="s">
        <v>1610</v>
      </c>
    </row>
    <row r="269" spans="1:7">
      <c r="A269" t="s">
        <v>1879</v>
      </c>
      <c r="B269" t="s">
        <v>904</v>
      </c>
      <c r="C269" s="2">
        <v>46201</v>
      </c>
      <c r="D269" s="3"/>
      <c r="E269" s="3"/>
      <c r="F269" s="4"/>
      <c r="G269" t="s">
        <v>1613</v>
      </c>
    </row>
    <row r="270" spans="1:7">
      <c r="A270" t="s">
        <v>1880</v>
      </c>
      <c r="B270" t="s">
        <v>907</v>
      </c>
      <c r="C270" s="2">
        <v>46202</v>
      </c>
      <c r="D270" s="3">
        <v>0.44305555555555554</v>
      </c>
      <c r="E270" s="3">
        <v>0.7631944444444444</v>
      </c>
      <c r="F270" s="4">
        <f>IF(OR(D270="",E270=""),"",E270-D270)</f>
        <v>0.32013888888888886</v>
      </c>
      <c r="G270" t="s">
        <v>1615</v>
      </c>
    </row>
    <row r="271" spans="1:7">
      <c r="A271" t="s">
        <v>1881</v>
      </c>
      <c r="B271" t="s">
        <v>910</v>
      </c>
      <c r="C271" s="2">
        <v>46203</v>
      </c>
      <c r="D271" s="3">
        <v>0.375</v>
      </c>
      <c r="E271" s="3">
        <v>0.77083333333333337</v>
      </c>
      <c r="F271" s="4">
        <f>IF(OR(D271="",E271=""),"",E271-D271)</f>
        <v>0.39583333333333337</v>
      </c>
      <c r="G271" t="s">
        <v>1610</v>
      </c>
    </row>
    <row r="272" spans="1:7">
      <c r="A272" t="s">
        <v>1882</v>
      </c>
      <c r="B272" t="s">
        <v>913</v>
      </c>
      <c r="C272" s="2">
        <v>46174</v>
      </c>
      <c r="D272" s="3">
        <v>0.37986111111111109</v>
      </c>
      <c r="E272" s="3">
        <v>0.77847222222222223</v>
      </c>
      <c r="F272" s="4">
        <f>IF(OR(D272="",E272=""),"",E272-D272)</f>
        <v>0.39861111111111114</v>
      </c>
      <c r="G272" t="s">
        <v>1610</v>
      </c>
    </row>
    <row r="273" spans="1:7">
      <c r="A273" t="s">
        <v>1883</v>
      </c>
      <c r="B273" t="s">
        <v>916</v>
      </c>
      <c r="C273" s="2">
        <v>46175</v>
      </c>
      <c r="D273" s="3">
        <v>0.38472222222222224</v>
      </c>
      <c r="E273" s="3">
        <v>0.78611111111111109</v>
      </c>
      <c r="F273" s="4">
        <f>IF(OR(D273="",E273=""),"",E273-D273)</f>
        <v>0.40138888888888885</v>
      </c>
      <c r="G273" t="s">
        <v>1610</v>
      </c>
    </row>
    <row r="274" spans="1:7">
      <c r="A274" t="s">
        <v>1884</v>
      </c>
      <c r="B274" t="s">
        <v>919</v>
      </c>
      <c r="C274" s="2">
        <v>46176</v>
      </c>
      <c r="D274" s="3"/>
      <c r="E274" s="3"/>
      <c r="F274" s="4"/>
      <c r="G274" t="s">
        <v>1613</v>
      </c>
    </row>
    <row r="275" spans="1:7">
      <c r="A275" t="s">
        <v>1885</v>
      </c>
      <c r="B275" t="s">
        <v>922</v>
      </c>
      <c r="C275" s="2">
        <v>46177</v>
      </c>
      <c r="D275" s="3">
        <v>0.43611111111111112</v>
      </c>
      <c r="E275" s="3">
        <v>0.75972222222222219</v>
      </c>
      <c r="F275" s="4">
        <f>IF(OR(D275="",E275=""),"",E275-D275)</f>
        <v>0.32361111111111107</v>
      </c>
      <c r="G275" t="s">
        <v>1615</v>
      </c>
    </row>
    <row r="276" spans="1:7">
      <c r="A276" t="s">
        <v>1886</v>
      </c>
      <c r="B276" t="s">
        <v>925</v>
      </c>
      <c r="C276" s="2">
        <v>46178</v>
      </c>
      <c r="D276" s="3">
        <v>0.39930555555555558</v>
      </c>
      <c r="E276" s="3">
        <v>0.76736111111111116</v>
      </c>
      <c r="F276" s="4">
        <f>IF(OR(D276="",E276=""),"",E276-D276)</f>
        <v>0.36805555555555558</v>
      </c>
      <c r="G276" t="s">
        <v>1610</v>
      </c>
    </row>
    <row r="277" spans="1:7">
      <c r="A277" t="s">
        <v>1887</v>
      </c>
      <c r="B277" t="s">
        <v>928</v>
      </c>
      <c r="C277" s="2">
        <v>46179</v>
      </c>
      <c r="D277" s="3">
        <v>0.40416666666666667</v>
      </c>
      <c r="E277" s="3">
        <v>0.77500000000000002</v>
      </c>
      <c r="F277" s="4">
        <f>IF(OR(D277="",E277=""),"",E277-D277)</f>
        <v>0.37083333333333335</v>
      </c>
      <c r="G277" t="s">
        <v>1610</v>
      </c>
    </row>
    <row r="278" spans="1:7">
      <c r="A278" t="s">
        <v>1888</v>
      </c>
      <c r="B278" t="s">
        <v>931</v>
      </c>
      <c r="C278" s="2">
        <v>46180</v>
      </c>
      <c r="D278" s="3">
        <v>0.37777777777777777</v>
      </c>
      <c r="E278" s="3">
        <v>0.78263888888888888</v>
      </c>
      <c r="F278" s="4">
        <f>IF(OR(D278="",E278=""),"",E278-D278)</f>
        <v>0.40486111111111112</v>
      </c>
      <c r="G278" t="s">
        <v>1610</v>
      </c>
    </row>
    <row r="279" spans="1:7">
      <c r="A279" t="s">
        <v>1889</v>
      </c>
      <c r="B279" t="s">
        <v>934</v>
      </c>
      <c r="C279" s="2">
        <v>46181</v>
      </c>
      <c r="D279" s="3"/>
      <c r="E279" s="3"/>
      <c r="F279" s="4"/>
      <c r="G279" t="s">
        <v>1613</v>
      </c>
    </row>
    <row r="280" spans="1:7">
      <c r="A280" t="s">
        <v>1890</v>
      </c>
      <c r="B280" t="s">
        <v>937</v>
      </c>
      <c r="C280" s="2">
        <v>46182</v>
      </c>
      <c r="D280" s="3">
        <v>0.42916666666666664</v>
      </c>
      <c r="E280" s="3">
        <v>0.75624999999999998</v>
      </c>
      <c r="F280" s="4">
        <f>IF(OR(D280="",E280=""),"",E280-D280)</f>
        <v>0.32708333333333334</v>
      </c>
      <c r="G280" t="s">
        <v>1615</v>
      </c>
    </row>
    <row r="281" spans="1:7">
      <c r="A281" t="s">
        <v>1891</v>
      </c>
      <c r="B281" t="s">
        <v>940</v>
      </c>
      <c r="C281" s="2">
        <v>46183</v>
      </c>
      <c r="D281" s="3">
        <v>0.3923611111111111</v>
      </c>
      <c r="E281" s="3">
        <v>0.76388888888888884</v>
      </c>
      <c r="F281" s="4">
        <f>IF(OR(D281="",E281=""),"",E281-D281)</f>
        <v>0.37152777777777773</v>
      </c>
      <c r="G281" t="s">
        <v>1610</v>
      </c>
    </row>
    <row r="282" spans="1:7">
      <c r="A282" t="s">
        <v>1892</v>
      </c>
      <c r="B282" t="s">
        <v>943</v>
      </c>
      <c r="C282" s="2">
        <v>46184</v>
      </c>
      <c r="D282" s="3">
        <v>0.3972222222222222</v>
      </c>
      <c r="E282" s="3">
        <v>0.77152777777777781</v>
      </c>
      <c r="F282" s="4">
        <f>IF(OR(D282="",E282=""),"",E282-D282)</f>
        <v>0.37430555555555561</v>
      </c>
      <c r="G282" t="s">
        <v>1610</v>
      </c>
    </row>
    <row r="283" spans="1:7">
      <c r="A283" t="s">
        <v>1893</v>
      </c>
      <c r="B283" t="s">
        <v>946</v>
      </c>
      <c r="C283" s="2">
        <v>46185</v>
      </c>
      <c r="D283" s="3">
        <v>0.40208333333333335</v>
      </c>
      <c r="E283" s="3">
        <v>0.77916666666666667</v>
      </c>
      <c r="F283" s="4">
        <f>IF(OR(D283="",E283=""),"",E283-D283)</f>
        <v>0.37708333333333333</v>
      </c>
      <c r="G283" t="s">
        <v>1610</v>
      </c>
    </row>
    <row r="284" spans="1:7">
      <c r="A284" t="s">
        <v>1894</v>
      </c>
      <c r="B284" t="s">
        <v>949</v>
      </c>
      <c r="C284" s="2">
        <v>46186</v>
      </c>
      <c r="D284" s="3"/>
      <c r="E284" s="3"/>
      <c r="F284" s="4"/>
      <c r="G284" t="s">
        <v>1613</v>
      </c>
    </row>
    <row r="285" spans="1:7">
      <c r="A285" t="s">
        <v>1895</v>
      </c>
      <c r="B285" t="s">
        <v>952</v>
      </c>
      <c r="C285" s="2">
        <v>46187</v>
      </c>
      <c r="D285" s="3">
        <v>0.42222222222222222</v>
      </c>
      <c r="E285" s="3">
        <v>0.75277777777777777</v>
      </c>
      <c r="F285" s="4">
        <f>IF(OR(D285="",E285=""),"",E285-D285)</f>
        <v>0.33055555555555555</v>
      </c>
      <c r="G285" t="s">
        <v>1615</v>
      </c>
    </row>
    <row r="286" spans="1:7">
      <c r="A286" t="s">
        <v>1896</v>
      </c>
      <c r="B286" t="s">
        <v>955</v>
      </c>
      <c r="C286" s="2">
        <v>46188</v>
      </c>
      <c r="D286" s="3">
        <v>0.38541666666666669</v>
      </c>
      <c r="E286" s="3">
        <v>0.76041666666666663</v>
      </c>
      <c r="F286" s="4">
        <f>IF(OR(D286="",E286=""),"",E286-D286)</f>
        <v>0.37499999999999994</v>
      </c>
      <c r="G286" t="s">
        <v>1610</v>
      </c>
    </row>
    <row r="287" spans="1:7">
      <c r="A287" t="s">
        <v>1897</v>
      </c>
      <c r="B287" t="s">
        <v>958</v>
      </c>
      <c r="C287" s="2">
        <v>46189</v>
      </c>
      <c r="D287" s="3">
        <v>0.39027777777777778</v>
      </c>
      <c r="E287" s="3">
        <v>0.7680555555555556</v>
      </c>
      <c r="F287" s="4">
        <f>IF(OR(D287="",E287=""),"",E287-D287)</f>
        <v>0.37777777777777782</v>
      </c>
      <c r="G287" t="s">
        <v>1610</v>
      </c>
    </row>
    <row r="288" spans="1:7">
      <c r="A288" t="s">
        <v>1898</v>
      </c>
      <c r="B288" t="s">
        <v>961</v>
      </c>
      <c r="C288" s="2">
        <v>46190</v>
      </c>
      <c r="D288" s="3">
        <v>0.39513888888888887</v>
      </c>
      <c r="E288" s="3">
        <v>0.77569444444444446</v>
      </c>
      <c r="F288" s="4">
        <f>IF(OR(D288="",E288=""),"",E288-D288)</f>
        <v>0.38055555555555559</v>
      </c>
      <c r="G288" t="s">
        <v>1610</v>
      </c>
    </row>
    <row r="289" spans="1:7">
      <c r="A289" t="s">
        <v>1899</v>
      </c>
      <c r="B289" t="s">
        <v>964</v>
      </c>
      <c r="C289" s="2">
        <v>46191</v>
      </c>
      <c r="D289" s="3"/>
      <c r="E289" s="3"/>
      <c r="F289" s="4"/>
      <c r="G289" t="s">
        <v>1613</v>
      </c>
    </row>
    <row r="290" spans="1:7">
      <c r="A290" t="s">
        <v>1900</v>
      </c>
      <c r="B290" t="s">
        <v>967</v>
      </c>
      <c r="C290" s="2">
        <v>46192</v>
      </c>
      <c r="D290" s="3">
        <v>0.4465277777777778</v>
      </c>
      <c r="E290" s="3">
        <v>0.79097222222222219</v>
      </c>
      <c r="F290" s="4">
        <f>IF(OR(D290="",E290=""),"",E290-D290)</f>
        <v>0.34444444444444439</v>
      </c>
      <c r="G290" t="s">
        <v>1615</v>
      </c>
    </row>
    <row r="291" spans="1:7">
      <c r="A291" t="s">
        <v>1901</v>
      </c>
      <c r="B291" t="s">
        <v>970</v>
      </c>
      <c r="C291" s="2">
        <v>46193</v>
      </c>
      <c r="D291" s="3">
        <v>0.37847222222222221</v>
      </c>
      <c r="E291" s="3">
        <v>0.75694444444444442</v>
      </c>
      <c r="F291" s="4">
        <f>IF(OR(D291="",E291=""),"",E291-D291)</f>
        <v>0.37847222222222221</v>
      </c>
      <c r="G291" t="s">
        <v>1610</v>
      </c>
    </row>
    <row r="292" spans="1:7">
      <c r="A292" t="s">
        <v>1902</v>
      </c>
      <c r="B292" t="s">
        <v>973</v>
      </c>
      <c r="C292" s="2">
        <v>46194</v>
      </c>
      <c r="D292" s="3">
        <v>0.38333333333333336</v>
      </c>
      <c r="E292" s="3">
        <v>0.76458333333333328</v>
      </c>
      <c r="F292" s="4">
        <f>IF(OR(D292="",E292=""),"",E292-D292)</f>
        <v>0.38124999999999992</v>
      </c>
      <c r="G292" t="s">
        <v>1610</v>
      </c>
    </row>
    <row r="293" spans="1:7">
      <c r="A293" t="s">
        <v>1903</v>
      </c>
      <c r="B293" t="s">
        <v>976</v>
      </c>
      <c r="C293" s="2">
        <v>46195</v>
      </c>
      <c r="D293" s="3">
        <v>0.38819444444444445</v>
      </c>
      <c r="E293" s="3">
        <v>0.77222222222222225</v>
      </c>
      <c r="F293" s="4">
        <f>IF(OR(D293="",E293=""),"",E293-D293)</f>
        <v>0.3840277777777778</v>
      </c>
      <c r="G293" t="s">
        <v>1610</v>
      </c>
    </row>
    <row r="294" spans="1:7">
      <c r="A294" t="s">
        <v>1904</v>
      </c>
      <c r="B294" t="s">
        <v>979</v>
      </c>
      <c r="C294" s="2">
        <v>46196</v>
      </c>
      <c r="D294" s="3"/>
      <c r="E294" s="3"/>
      <c r="F294" s="4"/>
      <c r="G294" t="s">
        <v>1613</v>
      </c>
    </row>
    <row r="295" spans="1:7">
      <c r="A295" t="s">
        <v>1905</v>
      </c>
      <c r="B295" t="s">
        <v>982</v>
      </c>
      <c r="C295" s="2">
        <v>46197</v>
      </c>
      <c r="D295" s="3">
        <v>0.43958333333333333</v>
      </c>
      <c r="E295" s="3">
        <v>0.78749999999999998</v>
      </c>
      <c r="F295" s="4">
        <f>IF(OR(D295="",E295=""),"",E295-D295)</f>
        <v>0.34791666666666665</v>
      </c>
      <c r="G295" t="s">
        <v>1615</v>
      </c>
    </row>
    <row r="296" spans="1:7">
      <c r="A296" t="s">
        <v>1906</v>
      </c>
      <c r="B296" t="s">
        <v>985</v>
      </c>
      <c r="C296" s="2">
        <v>46198</v>
      </c>
      <c r="D296" s="3">
        <v>0.40277777777777779</v>
      </c>
      <c r="E296" s="3">
        <v>0.75347222222222221</v>
      </c>
      <c r="F296" s="4">
        <f>IF(OR(D296="",E296=""),"",E296-D296)</f>
        <v>0.35069444444444442</v>
      </c>
      <c r="G296" t="s">
        <v>1610</v>
      </c>
    </row>
    <row r="297" spans="1:7">
      <c r="A297" t="s">
        <v>1907</v>
      </c>
      <c r="B297" t="s">
        <v>988</v>
      </c>
      <c r="C297" s="2">
        <v>46199</v>
      </c>
      <c r="D297" s="3">
        <v>0.37638888888888888</v>
      </c>
      <c r="E297" s="3">
        <v>0.76111111111111107</v>
      </c>
      <c r="F297" s="4">
        <f>IF(OR(D297="",E297=""),"",E297-D297)</f>
        <v>0.38472222222222219</v>
      </c>
      <c r="G297" t="s">
        <v>1610</v>
      </c>
    </row>
    <row r="298" spans="1:7">
      <c r="A298" t="s">
        <v>1908</v>
      </c>
      <c r="B298" t="s">
        <v>991</v>
      </c>
      <c r="C298" s="2">
        <v>46200</v>
      </c>
      <c r="D298" s="3">
        <v>0.38124999999999998</v>
      </c>
      <c r="E298" s="3">
        <v>0.76875000000000004</v>
      </c>
      <c r="F298" s="4">
        <f>IF(OR(D298="",E298=""),"",E298-D298)</f>
        <v>0.38750000000000007</v>
      </c>
      <c r="G298" t="s">
        <v>1610</v>
      </c>
    </row>
    <row r="299" spans="1:7">
      <c r="A299" t="s">
        <v>1909</v>
      </c>
      <c r="B299" t="s">
        <v>994</v>
      </c>
      <c r="C299" s="2">
        <v>46201</v>
      </c>
      <c r="D299" s="3"/>
      <c r="E299" s="3"/>
      <c r="F299" s="4"/>
      <c r="G299" t="s">
        <v>1613</v>
      </c>
    </row>
    <row r="300" spans="1:7">
      <c r="A300" t="s">
        <v>1910</v>
      </c>
      <c r="B300" t="s">
        <v>997</v>
      </c>
      <c r="C300" s="2">
        <v>46202</v>
      </c>
      <c r="D300" s="3">
        <v>0.43263888888888891</v>
      </c>
      <c r="E300" s="3">
        <v>0.78402777777777777</v>
      </c>
      <c r="F300" s="4">
        <f>IF(OR(D300="",E300=""),"",E300-D300)</f>
        <v>0.35138888888888886</v>
      </c>
      <c r="G300" t="s">
        <v>1615</v>
      </c>
    </row>
    <row r="301" spans="1:7">
      <c r="A301" t="s">
        <v>1911</v>
      </c>
      <c r="B301" t="s">
        <v>1000</v>
      </c>
      <c r="C301" s="2">
        <v>46203</v>
      </c>
      <c r="D301" s="3">
        <v>0.39583333333333331</v>
      </c>
      <c r="E301" s="3">
        <v>0.75</v>
      </c>
      <c r="F301" s="4">
        <f>IF(OR(D301="",E301=""),"",E301-D301)</f>
        <v>0.35416666666666669</v>
      </c>
      <c r="G301" t="s">
        <v>1610</v>
      </c>
    </row>
    <row r="302" spans="1:7">
      <c r="A302" t="s">
        <v>1912</v>
      </c>
      <c r="B302" t="s">
        <v>1003</v>
      </c>
      <c r="C302" s="2">
        <v>46174</v>
      </c>
      <c r="D302" s="3">
        <v>0.40069444444444446</v>
      </c>
      <c r="E302" s="3">
        <v>0.75763888888888886</v>
      </c>
      <c r="F302" s="4">
        <f>IF(OR(D302="",E302=""),"",E302-D302)</f>
        <v>0.3569444444444444</v>
      </c>
      <c r="G302" t="s">
        <v>1610</v>
      </c>
    </row>
    <row r="303" spans="1:7">
      <c r="A303" t="s">
        <v>1913</v>
      </c>
      <c r="B303" t="s">
        <v>1006</v>
      </c>
      <c r="C303" s="2">
        <v>46175</v>
      </c>
      <c r="D303" s="3">
        <v>0.40555555555555556</v>
      </c>
      <c r="E303" s="3">
        <v>0.76527777777777772</v>
      </c>
      <c r="F303" s="4">
        <f>IF(OR(D303="",E303=""),"",E303-D303)</f>
        <v>0.35972222222222217</v>
      </c>
      <c r="G303" t="s">
        <v>1610</v>
      </c>
    </row>
    <row r="304" spans="1:7">
      <c r="A304" t="s">
        <v>1914</v>
      </c>
      <c r="B304" t="s">
        <v>1009</v>
      </c>
      <c r="C304" s="2">
        <v>46176</v>
      </c>
      <c r="D304" s="3"/>
      <c r="E304" s="3"/>
      <c r="F304" s="4"/>
      <c r="G304" t="s">
        <v>1613</v>
      </c>
    </row>
    <row r="305" spans="1:7">
      <c r="A305" t="s">
        <v>1915</v>
      </c>
      <c r="B305" t="s">
        <v>1012</v>
      </c>
      <c r="C305" s="2">
        <v>46177</v>
      </c>
      <c r="D305" s="3">
        <v>0.42569444444444443</v>
      </c>
      <c r="E305" s="3">
        <v>0.78055555555555556</v>
      </c>
      <c r="F305" s="4">
        <f>IF(OR(D305="",E305=""),"",E305-D305)</f>
        <v>0.35486111111111113</v>
      </c>
      <c r="G305" t="s">
        <v>1615</v>
      </c>
    </row>
    <row r="306" spans="1:7">
      <c r="A306" t="s">
        <v>1916</v>
      </c>
      <c r="B306" t="s">
        <v>1015</v>
      </c>
      <c r="C306" s="2">
        <v>46178</v>
      </c>
      <c r="D306" s="3">
        <v>0.3888888888888889</v>
      </c>
      <c r="E306" s="3">
        <v>0.78819444444444442</v>
      </c>
      <c r="F306" s="4">
        <f>IF(OR(D306="",E306=""),"",E306-D306)</f>
        <v>0.39930555555555552</v>
      </c>
      <c r="G306" t="s">
        <v>1610</v>
      </c>
    </row>
    <row r="307" spans="1:7">
      <c r="A307" t="s">
        <v>1917</v>
      </c>
      <c r="B307" t="s">
        <v>1018</v>
      </c>
      <c r="C307" s="2">
        <v>46179</v>
      </c>
      <c r="D307" s="3">
        <v>0.39374999999999999</v>
      </c>
      <c r="E307" s="3">
        <v>0.75416666666666665</v>
      </c>
      <c r="F307" s="4">
        <f>IF(OR(D307="",E307=""),"",E307-D307)</f>
        <v>0.36041666666666666</v>
      </c>
      <c r="G307" t="s">
        <v>1610</v>
      </c>
    </row>
    <row r="308" spans="1:7">
      <c r="A308" t="s">
        <v>1918</v>
      </c>
      <c r="B308" t="s">
        <v>1021</v>
      </c>
      <c r="C308" s="2">
        <v>46180</v>
      </c>
      <c r="D308" s="3">
        <v>0.39861111111111114</v>
      </c>
      <c r="E308" s="3">
        <v>0.76180555555555551</v>
      </c>
      <c r="F308" s="4">
        <f>IF(OR(D308="",E308=""),"",E308-D308)</f>
        <v>0.36319444444444438</v>
      </c>
      <c r="G308" t="s">
        <v>1610</v>
      </c>
    </row>
    <row r="309" spans="1:7">
      <c r="A309" t="s">
        <v>1919</v>
      </c>
      <c r="B309" t="s">
        <v>1024</v>
      </c>
      <c r="C309" s="2">
        <v>46181</v>
      </c>
      <c r="D309" s="3"/>
      <c r="E309" s="3"/>
      <c r="F309" s="4"/>
      <c r="G309" t="s">
        <v>1613</v>
      </c>
    </row>
    <row r="310" spans="1:7">
      <c r="A310" t="s">
        <v>1920</v>
      </c>
      <c r="B310" t="s">
        <v>1027</v>
      </c>
      <c r="C310" s="2">
        <v>46182</v>
      </c>
      <c r="D310" s="3">
        <v>0.41875000000000001</v>
      </c>
      <c r="E310" s="3">
        <v>0.77708333333333335</v>
      </c>
      <c r="F310" s="4">
        <f>IF(OR(D310="",E310=""),"",E310-D310)</f>
        <v>0.35833333333333334</v>
      </c>
      <c r="G310" t="s">
        <v>1615</v>
      </c>
    </row>
    <row r="311" spans="1:7">
      <c r="A311" t="s">
        <v>1921</v>
      </c>
      <c r="B311" t="s">
        <v>1030</v>
      </c>
      <c r="C311" s="2">
        <v>46183</v>
      </c>
      <c r="D311" s="3">
        <v>0.38194444444444442</v>
      </c>
      <c r="E311" s="3">
        <v>0.78472222222222221</v>
      </c>
      <c r="F311" s="4">
        <f>IF(OR(D311="",E311=""),"",E311-D311)</f>
        <v>0.40277777777777779</v>
      </c>
      <c r="G311" t="s">
        <v>1610</v>
      </c>
    </row>
    <row r="312" spans="1:7">
      <c r="A312" t="s">
        <v>1922</v>
      </c>
      <c r="B312" t="s">
        <v>1033</v>
      </c>
      <c r="C312" s="2">
        <v>46184</v>
      </c>
      <c r="D312" s="3">
        <v>0.38680555555555557</v>
      </c>
      <c r="E312" s="3">
        <v>0.75069444444444444</v>
      </c>
      <c r="F312" s="4">
        <f>IF(OR(D312="",E312=""),"",E312-D312)</f>
        <v>0.36388888888888887</v>
      </c>
      <c r="G312" t="s">
        <v>1610</v>
      </c>
    </row>
    <row r="313" spans="1:7">
      <c r="A313" t="s">
        <v>1923</v>
      </c>
      <c r="B313" t="s">
        <v>1036</v>
      </c>
      <c r="C313" s="2">
        <v>46185</v>
      </c>
      <c r="D313" s="3">
        <v>0.39166666666666666</v>
      </c>
      <c r="E313" s="3">
        <v>0.7583333333333333</v>
      </c>
      <c r="F313" s="4">
        <f>IF(OR(D313="",E313=""),"",E313-D313)</f>
        <v>0.36666666666666664</v>
      </c>
      <c r="G313" t="s">
        <v>1610</v>
      </c>
    </row>
    <row r="314" spans="1:7">
      <c r="A314" t="s">
        <v>1924</v>
      </c>
      <c r="B314" t="s">
        <v>1039</v>
      </c>
      <c r="C314" s="2">
        <v>46186</v>
      </c>
      <c r="D314" s="3"/>
      <c r="E314" s="3"/>
      <c r="F314" s="4"/>
      <c r="G314" t="s">
        <v>1613</v>
      </c>
    </row>
    <row r="315" spans="1:7">
      <c r="A315" t="s">
        <v>1925</v>
      </c>
      <c r="B315" t="s">
        <v>1042</v>
      </c>
      <c r="C315" s="2">
        <v>46187</v>
      </c>
      <c r="D315" s="3">
        <v>0.44305555555555554</v>
      </c>
      <c r="E315" s="3">
        <v>0.77361111111111114</v>
      </c>
      <c r="F315" s="4">
        <f>IF(OR(D315="",E315=""),"",E315-D315)</f>
        <v>0.3305555555555556</v>
      </c>
      <c r="G315" t="s">
        <v>1615</v>
      </c>
    </row>
    <row r="316" spans="1:7">
      <c r="A316" t="s">
        <v>1926</v>
      </c>
      <c r="B316" t="s">
        <v>1045</v>
      </c>
      <c r="C316" s="2">
        <v>46188</v>
      </c>
      <c r="D316" s="3">
        <v>0.375</v>
      </c>
      <c r="E316" s="3">
        <v>0.78125</v>
      </c>
      <c r="F316" s="4">
        <f>IF(OR(D316="",E316=""),"",E316-D316)</f>
        <v>0.40625</v>
      </c>
      <c r="G316" t="s">
        <v>1610</v>
      </c>
    </row>
    <row r="317" spans="1:7">
      <c r="A317" t="s">
        <v>1927</v>
      </c>
      <c r="B317" t="s">
        <v>1048</v>
      </c>
      <c r="C317" s="2">
        <v>46189</v>
      </c>
      <c r="D317" s="3">
        <v>0.37986111111111109</v>
      </c>
      <c r="E317" s="3">
        <v>0.78888888888888886</v>
      </c>
      <c r="F317" s="4">
        <f>IF(OR(D317="",E317=""),"",E317-D317)</f>
        <v>0.40902777777777777</v>
      </c>
      <c r="G317" t="s">
        <v>1610</v>
      </c>
    </row>
    <row r="318" spans="1:7">
      <c r="A318" t="s">
        <v>1928</v>
      </c>
      <c r="B318" t="s">
        <v>1051</v>
      </c>
      <c r="C318" s="2">
        <v>46190</v>
      </c>
      <c r="D318" s="3">
        <v>0.38472222222222224</v>
      </c>
      <c r="E318" s="3">
        <v>0.75486111111111109</v>
      </c>
      <c r="F318" s="4">
        <f>IF(OR(D318="",E318=""),"",E318-D318)</f>
        <v>0.37013888888888885</v>
      </c>
      <c r="G318" t="s">
        <v>1610</v>
      </c>
    </row>
    <row r="319" spans="1:7">
      <c r="A319" t="s">
        <v>1929</v>
      </c>
      <c r="B319" t="s">
        <v>1054</v>
      </c>
      <c r="C319" s="2">
        <v>46191</v>
      </c>
      <c r="D319" s="3"/>
      <c r="E319" s="3"/>
      <c r="F319" s="4"/>
      <c r="G319" t="s">
        <v>1613</v>
      </c>
    </row>
    <row r="320" spans="1:7">
      <c r="A320" t="s">
        <v>1930</v>
      </c>
      <c r="B320" t="s">
        <v>1057</v>
      </c>
      <c r="C320" s="2">
        <v>46192</v>
      </c>
      <c r="D320" s="3">
        <v>0.43611111111111112</v>
      </c>
      <c r="E320" s="3">
        <v>0.77013888888888893</v>
      </c>
      <c r="F320" s="4">
        <f>IF(OR(D320="",E320=""),"",E320-D320)</f>
        <v>0.33402777777777781</v>
      </c>
      <c r="G320" t="s">
        <v>1615</v>
      </c>
    </row>
    <row r="321" spans="1:7">
      <c r="A321" t="s">
        <v>1931</v>
      </c>
      <c r="B321" t="s">
        <v>1060</v>
      </c>
      <c r="C321" s="2">
        <v>46193</v>
      </c>
      <c r="D321" s="3">
        <v>0.39930555555555558</v>
      </c>
      <c r="E321" s="3">
        <v>0.77777777777777779</v>
      </c>
      <c r="F321" s="4">
        <f>IF(OR(D321="",E321=""),"",E321-D321)</f>
        <v>0.37847222222222221</v>
      </c>
      <c r="G321" t="s">
        <v>1610</v>
      </c>
    </row>
    <row r="322" spans="1:7">
      <c r="A322" t="s">
        <v>1932</v>
      </c>
      <c r="B322" t="s">
        <v>1063</v>
      </c>
      <c r="C322" s="2">
        <v>46194</v>
      </c>
      <c r="D322" s="3">
        <v>0.40416666666666667</v>
      </c>
      <c r="E322" s="3">
        <v>0.78541666666666665</v>
      </c>
      <c r="F322" s="4">
        <f>IF(OR(D322="",E322=""),"",E322-D322)</f>
        <v>0.38124999999999998</v>
      </c>
      <c r="G322" t="s">
        <v>1610</v>
      </c>
    </row>
    <row r="323" spans="1:7">
      <c r="A323" t="s">
        <v>1933</v>
      </c>
      <c r="B323" t="s">
        <v>1066</v>
      </c>
      <c r="C323" s="2">
        <v>46195</v>
      </c>
      <c r="D323" s="3">
        <v>0.37777777777777777</v>
      </c>
      <c r="E323" s="3">
        <v>0.75138888888888888</v>
      </c>
      <c r="F323" s="4">
        <f>IF(OR(D323="",E323=""),"",E323-D323)</f>
        <v>0.37361111111111112</v>
      </c>
      <c r="G323" t="s">
        <v>1610</v>
      </c>
    </row>
    <row r="324" spans="1:7">
      <c r="A324" t="s">
        <v>1934</v>
      </c>
      <c r="B324" t="s">
        <v>1069</v>
      </c>
      <c r="C324" s="2">
        <v>46196</v>
      </c>
      <c r="D324" s="3"/>
      <c r="E324" s="3"/>
      <c r="F324" s="4"/>
      <c r="G324" t="s">
        <v>1613</v>
      </c>
    </row>
    <row r="325" spans="1:7">
      <c r="A325" t="s">
        <v>1935</v>
      </c>
      <c r="B325" t="s">
        <v>1072</v>
      </c>
      <c r="C325" s="2">
        <v>46197</v>
      </c>
      <c r="D325" s="3">
        <v>0.42916666666666664</v>
      </c>
      <c r="E325" s="3">
        <v>0.76666666666666672</v>
      </c>
      <c r="F325" s="4">
        <f>IF(OR(D325="",E325=""),"",E325-D325)</f>
        <v>0.33750000000000008</v>
      </c>
      <c r="G325" t="s">
        <v>1615</v>
      </c>
    </row>
    <row r="326" spans="1:7">
      <c r="A326" t="s">
        <v>1936</v>
      </c>
      <c r="B326" t="s">
        <v>1075</v>
      </c>
      <c r="C326" s="2">
        <v>46198</v>
      </c>
      <c r="D326" s="3">
        <v>0.3923611111111111</v>
      </c>
      <c r="E326" s="3">
        <v>0.77430555555555558</v>
      </c>
      <c r="F326" s="4">
        <f>IF(OR(D326="",E326=""),"",E326-D326)</f>
        <v>0.38194444444444448</v>
      </c>
      <c r="G326" t="s">
        <v>1610</v>
      </c>
    </row>
    <row r="327" spans="1:7">
      <c r="A327" t="s">
        <v>1937</v>
      </c>
      <c r="B327" t="s">
        <v>1078</v>
      </c>
      <c r="C327" s="2">
        <v>46199</v>
      </c>
      <c r="D327" s="3">
        <v>0.3972222222222222</v>
      </c>
      <c r="E327" s="3">
        <v>0.78194444444444444</v>
      </c>
      <c r="F327" s="4">
        <f>IF(OR(D327="",E327=""),"",E327-D327)</f>
        <v>0.38472222222222224</v>
      </c>
      <c r="G327" t="s">
        <v>1610</v>
      </c>
    </row>
    <row r="328" spans="1:7">
      <c r="A328" t="s">
        <v>1938</v>
      </c>
      <c r="B328" t="s">
        <v>1081</v>
      </c>
      <c r="C328" s="2">
        <v>46200</v>
      </c>
      <c r="D328" s="3">
        <v>0.40208333333333335</v>
      </c>
      <c r="E328" s="3">
        <v>0.7895833333333333</v>
      </c>
      <c r="F328" s="4">
        <f>IF(OR(D328="",E328=""),"",E328-D328)</f>
        <v>0.38749999999999996</v>
      </c>
      <c r="G328" t="s">
        <v>1610</v>
      </c>
    </row>
    <row r="329" spans="1:7">
      <c r="A329" t="s">
        <v>1939</v>
      </c>
      <c r="B329" t="s">
        <v>1084</v>
      </c>
      <c r="C329" s="2">
        <v>46201</v>
      </c>
      <c r="D329" s="3"/>
      <c r="E329" s="3"/>
      <c r="F329" s="4"/>
      <c r="G329" t="s">
        <v>1613</v>
      </c>
    </row>
    <row r="330" spans="1:7">
      <c r="A330" t="s">
        <v>1940</v>
      </c>
      <c r="B330" t="s">
        <v>1087</v>
      </c>
      <c r="C330" s="2">
        <v>46202</v>
      </c>
      <c r="D330" s="3">
        <v>0.42222222222222222</v>
      </c>
      <c r="E330" s="3">
        <v>0.7631944444444444</v>
      </c>
      <c r="F330" s="4">
        <f>IF(OR(D330="",E330=""),"",E330-D330)</f>
        <v>0.34097222222222218</v>
      </c>
      <c r="G330" t="s">
        <v>1615</v>
      </c>
    </row>
    <row r="331" spans="1:7">
      <c r="A331" t="s">
        <v>1941</v>
      </c>
      <c r="B331" t="s">
        <v>1090</v>
      </c>
      <c r="C331" s="2">
        <v>46203</v>
      </c>
      <c r="D331" s="3">
        <v>0.38541666666666669</v>
      </c>
      <c r="E331" s="3">
        <v>0.77083333333333337</v>
      </c>
      <c r="F331" s="4">
        <f>IF(OR(D331="",E331=""),"",E331-D331)</f>
        <v>0.38541666666666669</v>
      </c>
      <c r="G331" t="s">
        <v>1610</v>
      </c>
    </row>
    <row r="332" spans="1:7">
      <c r="A332" t="s">
        <v>1942</v>
      </c>
      <c r="B332" t="s">
        <v>1093</v>
      </c>
      <c r="C332" s="2">
        <v>46174</v>
      </c>
      <c r="D332" s="3">
        <v>0.39027777777777778</v>
      </c>
      <c r="E332" s="3">
        <v>0.77847222222222223</v>
      </c>
      <c r="F332" s="4">
        <f>IF(OR(D332="",E332=""),"",E332-D332)</f>
        <v>0.38819444444444445</v>
      </c>
      <c r="G332" t="s">
        <v>1610</v>
      </c>
    </row>
    <row r="333" spans="1:7">
      <c r="A333" t="s">
        <v>1943</v>
      </c>
      <c r="B333" t="s">
        <v>1096</v>
      </c>
      <c r="C333" s="2">
        <v>46175</v>
      </c>
      <c r="D333" s="3">
        <v>0.39513888888888887</v>
      </c>
      <c r="E333" s="3">
        <v>0.78611111111111109</v>
      </c>
      <c r="F333" s="4">
        <f>IF(OR(D333="",E333=""),"",E333-D333)</f>
        <v>0.39097222222222222</v>
      </c>
      <c r="G333" t="s">
        <v>1610</v>
      </c>
    </row>
    <row r="334" spans="1:7">
      <c r="A334" t="s">
        <v>1944</v>
      </c>
      <c r="B334" t="s">
        <v>1099</v>
      </c>
      <c r="C334" s="2">
        <v>46176</v>
      </c>
      <c r="D334" s="3"/>
      <c r="E334" s="3"/>
      <c r="F334" s="4"/>
      <c r="G334" t="s">
        <v>1613</v>
      </c>
    </row>
    <row r="335" spans="1:7">
      <c r="A335" t="s">
        <v>1945</v>
      </c>
      <c r="B335" t="s">
        <v>1102</v>
      </c>
      <c r="C335" s="2">
        <v>46177</v>
      </c>
      <c r="D335" s="3">
        <v>0.4465277777777778</v>
      </c>
      <c r="E335" s="3">
        <v>0.75972222222222219</v>
      </c>
      <c r="F335" s="4">
        <f>IF(OR(D335="",E335=""),"",E335-D335)</f>
        <v>0.31319444444444439</v>
      </c>
      <c r="G335" t="s">
        <v>1615</v>
      </c>
    </row>
    <row r="336" spans="1:7">
      <c r="A336" t="s">
        <v>1946</v>
      </c>
      <c r="B336" t="s">
        <v>1105</v>
      </c>
      <c r="C336" s="2">
        <v>46178</v>
      </c>
      <c r="D336" s="3">
        <v>0.37847222222222221</v>
      </c>
      <c r="E336" s="3">
        <v>0.76736111111111116</v>
      </c>
      <c r="F336" s="4">
        <f>IF(OR(D336="",E336=""),"",E336-D336)</f>
        <v>0.38888888888888895</v>
      </c>
      <c r="G336" t="s">
        <v>1610</v>
      </c>
    </row>
    <row r="337" spans="1:7">
      <c r="A337" t="s">
        <v>1947</v>
      </c>
      <c r="B337" t="s">
        <v>1108</v>
      </c>
      <c r="C337" s="2">
        <v>46179</v>
      </c>
      <c r="D337" s="3">
        <v>0.38333333333333336</v>
      </c>
      <c r="E337" s="3">
        <v>0.77500000000000002</v>
      </c>
      <c r="F337" s="4">
        <f>IF(OR(D337="",E337=""),"",E337-D337)</f>
        <v>0.39166666666666666</v>
      </c>
      <c r="G337" t="s">
        <v>1610</v>
      </c>
    </row>
    <row r="338" spans="1:7">
      <c r="A338" t="s">
        <v>1948</v>
      </c>
      <c r="B338" t="s">
        <v>1111</v>
      </c>
      <c r="C338" s="2">
        <v>46180</v>
      </c>
      <c r="D338" s="3">
        <v>0.38819444444444445</v>
      </c>
      <c r="E338" s="3">
        <v>0.78263888888888888</v>
      </c>
      <c r="F338" s="4">
        <f>IF(OR(D338="",E338=""),"",E338-D338)</f>
        <v>0.39444444444444443</v>
      </c>
      <c r="G338" t="s">
        <v>1610</v>
      </c>
    </row>
    <row r="339" spans="1:7">
      <c r="A339" t="s">
        <v>1949</v>
      </c>
      <c r="B339" t="s">
        <v>1114</v>
      </c>
      <c r="C339" s="2">
        <v>46181</v>
      </c>
      <c r="D339" s="3"/>
      <c r="E339" s="3"/>
      <c r="F339" s="4"/>
      <c r="G339" t="s">
        <v>1613</v>
      </c>
    </row>
    <row r="340" spans="1:7">
      <c r="A340" t="s">
        <v>1950</v>
      </c>
      <c r="B340" t="s">
        <v>1117</v>
      </c>
      <c r="C340" s="2">
        <v>46182</v>
      </c>
      <c r="D340" s="3">
        <v>0.43958333333333333</v>
      </c>
      <c r="E340" s="3">
        <v>0.75624999999999998</v>
      </c>
      <c r="F340" s="4">
        <f>IF(OR(D340="",E340=""),"",E340-D340)</f>
        <v>0.31666666666666665</v>
      </c>
      <c r="G340" t="s">
        <v>1615</v>
      </c>
    </row>
    <row r="341" spans="1:7">
      <c r="A341" t="s">
        <v>1951</v>
      </c>
      <c r="B341" t="s">
        <v>1120</v>
      </c>
      <c r="C341" s="2">
        <v>46183</v>
      </c>
      <c r="D341" s="3">
        <v>0.40277777777777779</v>
      </c>
      <c r="E341" s="3">
        <v>0.76388888888888884</v>
      </c>
      <c r="F341" s="4">
        <f>IF(OR(D341="",E341=""),"",E341-D341)</f>
        <v>0.36111111111111105</v>
      </c>
      <c r="G341" t="s">
        <v>1610</v>
      </c>
    </row>
    <row r="342" spans="1:7">
      <c r="A342" t="s">
        <v>1952</v>
      </c>
      <c r="B342" t="s">
        <v>1123</v>
      </c>
      <c r="C342" s="2">
        <v>46184</v>
      </c>
      <c r="D342" s="3">
        <v>0.37638888888888888</v>
      </c>
      <c r="E342" s="3">
        <v>0.77152777777777781</v>
      </c>
      <c r="F342" s="4">
        <f>IF(OR(D342="",E342=""),"",E342-D342)</f>
        <v>0.39513888888888893</v>
      </c>
      <c r="G342" t="s">
        <v>1610</v>
      </c>
    </row>
    <row r="343" spans="1:7">
      <c r="A343" t="s">
        <v>1953</v>
      </c>
      <c r="B343" t="s">
        <v>1126</v>
      </c>
      <c r="C343" s="2">
        <v>46185</v>
      </c>
      <c r="D343" s="3">
        <v>0.38124999999999998</v>
      </c>
      <c r="E343" s="3">
        <v>0.77916666666666667</v>
      </c>
      <c r="F343" s="4">
        <f>IF(OR(D343="",E343=""),"",E343-D343)</f>
        <v>0.3979166666666667</v>
      </c>
      <c r="G343" t="s">
        <v>1610</v>
      </c>
    </row>
    <row r="344" spans="1:7">
      <c r="A344" t="s">
        <v>1954</v>
      </c>
      <c r="B344" t="s">
        <v>1129</v>
      </c>
      <c r="C344" s="2">
        <v>46186</v>
      </c>
      <c r="D344" s="3"/>
      <c r="E344" s="3"/>
      <c r="F344" s="4"/>
      <c r="G344" t="s">
        <v>1613</v>
      </c>
    </row>
    <row r="345" spans="1:7">
      <c r="A345" t="s">
        <v>1955</v>
      </c>
      <c r="B345" t="s">
        <v>1132</v>
      </c>
      <c r="C345" s="2">
        <v>46187</v>
      </c>
      <c r="D345" s="3">
        <v>0.43263888888888891</v>
      </c>
      <c r="E345" s="3">
        <v>0.75277777777777777</v>
      </c>
      <c r="F345" s="4">
        <f>IF(OR(D345="",E345=""),"",E345-D345)</f>
        <v>0.32013888888888886</v>
      </c>
      <c r="G345" t="s">
        <v>1615</v>
      </c>
    </row>
    <row r="346" spans="1:7">
      <c r="A346" t="s">
        <v>1956</v>
      </c>
      <c r="B346" t="s">
        <v>1135</v>
      </c>
      <c r="C346" s="2">
        <v>46188</v>
      </c>
      <c r="D346" s="3">
        <v>0.39583333333333331</v>
      </c>
      <c r="E346" s="3">
        <v>0.76041666666666663</v>
      </c>
      <c r="F346" s="4">
        <f>IF(OR(D346="",E346=""),"",E346-D346)</f>
        <v>0.36458333333333331</v>
      </c>
      <c r="G346" t="s">
        <v>1610</v>
      </c>
    </row>
    <row r="347" spans="1:7">
      <c r="A347" t="s">
        <v>1957</v>
      </c>
      <c r="B347" t="s">
        <v>1138</v>
      </c>
      <c r="C347" s="2">
        <v>46189</v>
      </c>
      <c r="D347" s="3">
        <v>0.40069444444444446</v>
      </c>
      <c r="E347" s="3">
        <v>0.7680555555555556</v>
      </c>
      <c r="F347" s="4">
        <f>IF(OR(D347="",E347=""),"",E347-D347)</f>
        <v>0.36736111111111114</v>
      </c>
      <c r="G347" t="s">
        <v>1610</v>
      </c>
    </row>
    <row r="348" spans="1:7">
      <c r="A348" t="s">
        <v>1958</v>
      </c>
      <c r="B348" t="s">
        <v>1141</v>
      </c>
      <c r="C348" s="2">
        <v>46190</v>
      </c>
      <c r="D348" s="3">
        <v>0.40555555555555556</v>
      </c>
      <c r="E348" s="3">
        <v>0.77569444444444446</v>
      </c>
      <c r="F348" s="4">
        <f>IF(OR(D348="",E348=""),"",E348-D348)</f>
        <v>0.37013888888888891</v>
      </c>
      <c r="G348" t="s">
        <v>1610</v>
      </c>
    </row>
    <row r="349" spans="1:7">
      <c r="A349" t="s">
        <v>1959</v>
      </c>
      <c r="B349" t="s">
        <v>1144</v>
      </c>
      <c r="C349" s="2">
        <v>46191</v>
      </c>
      <c r="D349" s="3"/>
      <c r="E349" s="3"/>
      <c r="F349" s="4"/>
      <c r="G349" t="s">
        <v>1613</v>
      </c>
    </row>
    <row r="350" spans="1:7">
      <c r="A350" t="s">
        <v>1960</v>
      </c>
      <c r="B350" t="s">
        <v>1147</v>
      </c>
      <c r="C350" s="2">
        <v>46192</v>
      </c>
      <c r="D350" s="3">
        <v>0.42569444444444443</v>
      </c>
      <c r="E350" s="3">
        <v>0.79097222222222219</v>
      </c>
      <c r="F350" s="4">
        <f>IF(OR(D350="",E350=""),"",E350-D350)</f>
        <v>0.36527777777777776</v>
      </c>
      <c r="G350" t="s">
        <v>1615</v>
      </c>
    </row>
    <row r="351" spans="1:7">
      <c r="A351" t="s">
        <v>1961</v>
      </c>
      <c r="B351" t="s">
        <v>1150</v>
      </c>
      <c r="C351" s="2">
        <v>46193</v>
      </c>
      <c r="D351" s="3">
        <v>0.3888888888888889</v>
      </c>
      <c r="E351" s="3">
        <v>0.75694444444444442</v>
      </c>
      <c r="F351" s="4">
        <f>IF(OR(D351="",E351=""),"",E351-D351)</f>
        <v>0.36805555555555552</v>
      </c>
      <c r="G351" t="s">
        <v>1610</v>
      </c>
    </row>
    <row r="352" spans="1:7">
      <c r="A352" t="s">
        <v>1962</v>
      </c>
      <c r="B352" t="s">
        <v>1153</v>
      </c>
      <c r="C352" s="2">
        <v>46194</v>
      </c>
      <c r="D352" s="3">
        <v>0.39374999999999999</v>
      </c>
      <c r="E352" s="3">
        <v>0.76458333333333328</v>
      </c>
      <c r="F352" s="4">
        <f>IF(OR(D352="",E352=""),"",E352-D352)</f>
        <v>0.37083333333333329</v>
      </c>
      <c r="G352" t="s">
        <v>1610</v>
      </c>
    </row>
    <row r="353" spans="1:7">
      <c r="A353" t="s">
        <v>1963</v>
      </c>
      <c r="B353" t="s">
        <v>1156</v>
      </c>
      <c r="C353" s="2">
        <v>46195</v>
      </c>
      <c r="D353" s="3">
        <v>0.39861111111111114</v>
      </c>
      <c r="E353" s="3">
        <v>0.77222222222222225</v>
      </c>
      <c r="F353" s="4">
        <f>IF(OR(D353="",E353=""),"",E353-D353)</f>
        <v>0.37361111111111112</v>
      </c>
      <c r="G353" t="s">
        <v>1610</v>
      </c>
    </row>
    <row r="354" spans="1:7">
      <c r="A354" t="s">
        <v>1964</v>
      </c>
      <c r="B354" t="s">
        <v>1159</v>
      </c>
      <c r="C354" s="2">
        <v>46196</v>
      </c>
      <c r="D354" s="3"/>
      <c r="E354" s="3"/>
      <c r="F354" s="4"/>
      <c r="G354" t="s">
        <v>1613</v>
      </c>
    </row>
    <row r="355" spans="1:7">
      <c r="A355" t="s">
        <v>1965</v>
      </c>
      <c r="B355" t="s">
        <v>1162</v>
      </c>
      <c r="C355" s="2">
        <v>46197</v>
      </c>
      <c r="D355" s="3">
        <v>0.41875000000000001</v>
      </c>
      <c r="E355" s="3">
        <v>0.78749999999999998</v>
      </c>
      <c r="F355" s="4">
        <f>IF(OR(D355="",E355=""),"",E355-D355)</f>
        <v>0.36874999999999997</v>
      </c>
      <c r="G355" t="s">
        <v>1615</v>
      </c>
    </row>
    <row r="356" spans="1:7">
      <c r="A356" t="s">
        <v>1966</v>
      </c>
      <c r="B356" t="s">
        <v>1165</v>
      </c>
      <c r="C356" s="2">
        <v>46198</v>
      </c>
      <c r="D356" s="3">
        <v>0.38194444444444442</v>
      </c>
      <c r="E356" s="3">
        <v>0.75347222222222221</v>
      </c>
      <c r="F356" s="4">
        <f>IF(OR(D356="",E356=""),"",E356-D356)</f>
        <v>0.37152777777777779</v>
      </c>
      <c r="G356" t="s">
        <v>1610</v>
      </c>
    </row>
    <row r="357" spans="1:7">
      <c r="A357" t="s">
        <v>1967</v>
      </c>
      <c r="B357" t="s">
        <v>1168</v>
      </c>
      <c r="C357" s="2">
        <v>46199</v>
      </c>
      <c r="D357" s="3">
        <v>0.38680555555555557</v>
      </c>
      <c r="E357" s="3">
        <v>0.76111111111111107</v>
      </c>
      <c r="F357" s="4">
        <f>IF(OR(D357="",E357=""),"",E357-D357)</f>
        <v>0.3743055555555555</v>
      </c>
      <c r="G357" t="s">
        <v>1610</v>
      </c>
    </row>
    <row r="358" spans="1:7">
      <c r="A358" t="s">
        <v>1968</v>
      </c>
      <c r="B358" t="s">
        <v>1171</v>
      </c>
      <c r="C358" s="2">
        <v>46200</v>
      </c>
      <c r="D358" s="3">
        <v>0.39166666666666666</v>
      </c>
      <c r="E358" s="3">
        <v>0.76875000000000004</v>
      </c>
      <c r="F358" s="4">
        <f>IF(OR(D358="",E358=""),"",E358-D358)</f>
        <v>0.37708333333333338</v>
      </c>
      <c r="G358" t="s">
        <v>1610</v>
      </c>
    </row>
    <row r="359" spans="1:7">
      <c r="A359" t="s">
        <v>1969</v>
      </c>
      <c r="B359" t="s">
        <v>1174</v>
      </c>
      <c r="C359" s="2">
        <v>46201</v>
      </c>
      <c r="D359" s="3"/>
      <c r="E359" s="3"/>
      <c r="F359" s="4"/>
      <c r="G359" t="s">
        <v>1613</v>
      </c>
    </row>
    <row r="360" spans="1:7">
      <c r="A360" t="s">
        <v>1970</v>
      </c>
      <c r="B360" t="s">
        <v>1177</v>
      </c>
      <c r="C360" s="2">
        <v>46202</v>
      </c>
      <c r="D360" s="3">
        <v>0.44305555555555554</v>
      </c>
      <c r="E360" s="3">
        <v>0.78402777777777777</v>
      </c>
      <c r="F360" s="4">
        <f>IF(OR(D360="",E360=""),"",E360-D360)</f>
        <v>0.34097222222222223</v>
      </c>
      <c r="G360" t="s">
        <v>1615</v>
      </c>
    </row>
    <row r="361" spans="1:7">
      <c r="A361" t="s">
        <v>1971</v>
      </c>
      <c r="B361" t="s">
        <v>1180</v>
      </c>
      <c r="C361" s="2">
        <v>46203</v>
      </c>
      <c r="D361" s="3">
        <v>0.375</v>
      </c>
      <c r="E361" s="3">
        <v>0.75</v>
      </c>
      <c r="F361" s="4">
        <f>IF(OR(D361="",E361=""),"",E361-D361)</f>
        <v>0.375</v>
      </c>
      <c r="G361" t="s">
        <v>1610</v>
      </c>
    </row>
    <row r="362" spans="1:7">
      <c r="A362" t="s">
        <v>1972</v>
      </c>
      <c r="B362" t="s">
        <v>1183</v>
      </c>
      <c r="C362" s="2">
        <v>46174</v>
      </c>
      <c r="D362" s="3">
        <v>0.37986111111111109</v>
      </c>
      <c r="E362" s="3">
        <v>0.75763888888888886</v>
      </c>
      <c r="F362" s="4">
        <f>IF(OR(D362="",E362=""),"",E362-D362)</f>
        <v>0.37777777777777777</v>
      </c>
      <c r="G362" t="s">
        <v>1610</v>
      </c>
    </row>
    <row r="363" spans="1:7">
      <c r="A363" t="s">
        <v>1973</v>
      </c>
      <c r="B363" t="s">
        <v>1186</v>
      </c>
      <c r="C363" s="2">
        <v>46175</v>
      </c>
      <c r="D363" s="3">
        <v>0.38472222222222224</v>
      </c>
      <c r="E363" s="3">
        <v>0.76527777777777772</v>
      </c>
      <c r="F363" s="4">
        <f>IF(OR(D363="",E363=""),"",E363-D363)</f>
        <v>0.38055555555555548</v>
      </c>
      <c r="G363" t="s">
        <v>1610</v>
      </c>
    </row>
    <row r="364" spans="1:7">
      <c r="A364" t="s">
        <v>1974</v>
      </c>
      <c r="B364" t="s">
        <v>1189</v>
      </c>
      <c r="C364" s="2">
        <v>46176</v>
      </c>
      <c r="D364" s="3"/>
      <c r="E364" s="3"/>
      <c r="F364" s="4"/>
      <c r="G364" t="s">
        <v>1613</v>
      </c>
    </row>
    <row r="365" spans="1:7">
      <c r="A365" t="s">
        <v>1975</v>
      </c>
      <c r="B365" t="s">
        <v>1192</v>
      </c>
      <c r="C365" s="2">
        <v>46177</v>
      </c>
      <c r="D365" s="3">
        <v>0.43611111111111112</v>
      </c>
      <c r="E365" s="3">
        <v>0.78055555555555556</v>
      </c>
      <c r="F365" s="4">
        <f>IF(OR(D365="",E365=""),"",E365-D365)</f>
        <v>0.34444444444444444</v>
      </c>
      <c r="G365" t="s">
        <v>1615</v>
      </c>
    </row>
    <row r="366" spans="1:7">
      <c r="A366" t="s">
        <v>1976</v>
      </c>
      <c r="B366" t="s">
        <v>1195</v>
      </c>
      <c r="C366" s="2">
        <v>46178</v>
      </c>
      <c r="D366" s="3">
        <v>0.39930555555555558</v>
      </c>
      <c r="E366" s="3">
        <v>0.78819444444444442</v>
      </c>
      <c r="F366" s="4">
        <f>IF(OR(D366="",E366=""),"",E366-D366)</f>
        <v>0.38888888888888884</v>
      </c>
      <c r="G366" t="s">
        <v>1610</v>
      </c>
    </row>
    <row r="367" spans="1:7">
      <c r="A367" t="s">
        <v>1977</v>
      </c>
      <c r="B367" t="s">
        <v>1198</v>
      </c>
      <c r="C367" s="2">
        <v>46179</v>
      </c>
      <c r="D367" s="3">
        <v>0.40416666666666667</v>
      </c>
      <c r="E367" s="3">
        <v>0.75416666666666665</v>
      </c>
      <c r="F367" s="4">
        <f>IF(OR(D367="",E367=""),"",E367-D367)</f>
        <v>0.35</v>
      </c>
      <c r="G367" t="s">
        <v>1610</v>
      </c>
    </row>
    <row r="368" spans="1:7">
      <c r="A368" t="s">
        <v>1978</v>
      </c>
      <c r="B368" t="s">
        <v>1201</v>
      </c>
      <c r="C368" s="2">
        <v>46180</v>
      </c>
      <c r="D368" s="3">
        <v>0.37777777777777777</v>
      </c>
      <c r="E368" s="3">
        <v>0.76180555555555551</v>
      </c>
      <c r="F368" s="4">
        <f>IF(OR(D368="",E368=""),"",E368-D368)</f>
        <v>0.38402777777777775</v>
      </c>
      <c r="G368" t="s">
        <v>1610</v>
      </c>
    </row>
    <row r="369" spans="1:7">
      <c r="A369" t="s">
        <v>1979</v>
      </c>
      <c r="B369" t="s">
        <v>1204</v>
      </c>
      <c r="C369" s="2">
        <v>46181</v>
      </c>
      <c r="D369" s="3"/>
      <c r="E369" s="3"/>
      <c r="F369" s="4"/>
      <c r="G369" t="s">
        <v>1613</v>
      </c>
    </row>
    <row r="370" spans="1:7">
      <c r="A370" t="s">
        <v>1980</v>
      </c>
      <c r="B370" t="s">
        <v>1207</v>
      </c>
      <c r="C370" s="2">
        <v>46182</v>
      </c>
      <c r="D370" s="3">
        <v>0.42916666666666664</v>
      </c>
      <c r="E370" s="3">
        <v>0.77708333333333335</v>
      </c>
      <c r="F370" s="4">
        <f>IF(OR(D370="",E370=""),"",E370-D370)</f>
        <v>0.34791666666666671</v>
      </c>
      <c r="G370" t="s">
        <v>1615</v>
      </c>
    </row>
    <row r="371" spans="1:7">
      <c r="A371" t="s">
        <v>1981</v>
      </c>
      <c r="B371" t="s">
        <v>1210</v>
      </c>
      <c r="C371" s="2">
        <v>46183</v>
      </c>
      <c r="D371" s="3">
        <v>0.3923611111111111</v>
      </c>
      <c r="E371" s="3">
        <v>0.78472222222222221</v>
      </c>
      <c r="F371" s="4">
        <f>IF(OR(D371="",E371=""),"",E371-D371)</f>
        <v>0.3923611111111111</v>
      </c>
      <c r="G371" t="s">
        <v>1610</v>
      </c>
    </row>
    <row r="372" spans="1:7">
      <c r="A372" t="s">
        <v>1982</v>
      </c>
      <c r="B372" t="s">
        <v>1213</v>
      </c>
      <c r="C372" s="2">
        <v>46184</v>
      </c>
      <c r="D372" s="3">
        <v>0.3972222222222222</v>
      </c>
      <c r="E372" s="3">
        <v>0.75069444444444444</v>
      </c>
      <c r="F372" s="4">
        <f>IF(OR(D372="",E372=""),"",E372-D372)</f>
        <v>0.35347222222222224</v>
      </c>
      <c r="G372" t="s">
        <v>1610</v>
      </c>
    </row>
    <row r="373" spans="1:7">
      <c r="A373" t="s">
        <v>1983</v>
      </c>
      <c r="B373" t="s">
        <v>1216</v>
      </c>
      <c r="C373" s="2">
        <v>46185</v>
      </c>
      <c r="D373" s="3">
        <v>0.40208333333333335</v>
      </c>
      <c r="E373" s="3">
        <v>0.7583333333333333</v>
      </c>
      <c r="F373" s="4">
        <f>IF(OR(D373="",E373=""),"",E373-D373)</f>
        <v>0.35624999999999996</v>
      </c>
      <c r="G373" t="s">
        <v>1610</v>
      </c>
    </row>
    <row r="374" spans="1:7">
      <c r="A374" t="s">
        <v>1984</v>
      </c>
      <c r="B374" t="s">
        <v>1219</v>
      </c>
      <c r="C374" s="2">
        <v>46186</v>
      </c>
      <c r="D374" s="3"/>
      <c r="E374" s="3"/>
      <c r="F374" s="4"/>
      <c r="G374" t="s">
        <v>1613</v>
      </c>
    </row>
    <row r="375" spans="1:7">
      <c r="A375" t="s">
        <v>1985</v>
      </c>
      <c r="B375" t="s">
        <v>1222</v>
      </c>
      <c r="C375" s="2">
        <v>46187</v>
      </c>
      <c r="D375" s="3">
        <v>0.42222222222222222</v>
      </c>
      <c r="E375" s="3">
        <v>0.77361111111111114</v>
      </c>
      <c r="F375" s="4">
        <f>IF(OR(D375="",E375=""),"",E375-D375)</f>
        <v>0.35138888888888892</v>
      </c>
      <c r="G375" t="s">
        <v>1615</v>
      </c>
    </row>
    <row r="376" spans="1:7">
      <c r="A376" t="s">
        <v>1986</v>
      </c>
      <c r="B376" t="s">
        <v>1225</v>
      </c>
      <c r="C376" s="2">
        <v>46188</v>
      </c>
      <c r="D376" s="3">
        <v>0.38541666666666669</v>
      </c>
      <c r="E376" s="3">
        <v>0.78125</v>
      </c>
      <c r="F376" s="4">
        <f>IF(OR(D376="",E376=""),"",E376-D376)</f>
        <v>0.39583333333333331</v>
      </c>
      <c r="G376" t="s">
        <v>1610</v>
      </c>
    </row>
    <row r="377" spans="1:7">
      <c r="A377" t="s">
        <v>1987</v>
      </c>
      <c r="B377" t="s">
        <v>1228</v>
      </c>
      <c r="C377" s="2">
        <v>46189</v>
      </c>
      <c r="D377" s="3">
        <v>0.39027777777777778</v>
      </c>
      <c r="E377" s="3">
        <v>0.78888888888888886</v>
      </c>
      <c r="F377" s="4">
        <f>IF(OR(D377="",E377=""),"",E377-D377)</f>
        <v>0.39861111111111108</v>
      </c>
      <c r="G377" t="s">
        <v>1610</v>
      </c>
    </row>
    <row r="378" spans="1:7">
      <c r="A378" t="s">
        <v>1988</v>
      </c>
      <c r="B378" t="s">
        <v>1231</v>
      </c>
      <c r="C378" s="2">
        <v>46190</v>
      </c>
      <c r="D378" s="3">
        <v>0.39513888888888887</v>
      </c>
      <c r="E378" s="3">
        <v>0.75486111111111109</v>
      </c>
      <c r="F378" s="4">
        <f>IF(OR(D378="",E378=""),"",E378-D378)</f>
        <v>0.35972222222222222</v>
      </c>
      <c r="G378" t="s">
        <v>1610</v>
      </c>
    </row>
    <row r="379" spans="1:7">
      <c r="A379" t="s">
        <v>1989</v>
      </c>
      <c r="B379" t="s">
        <v>1234</v>
      </c>
      <c r="C379" s="2">
        <v>46191</v>
      </c>
      <c r="D379" s="3"/>
      <c r="E379" s="3"/>
      <c r="F379" s="4"/>
      <c r="G379" t="s">
        <v>1613</v>
      </c>
    </row>
    <row r="380" spans="1:7">
      <c r="A380" t="s">
        <v>1990</v>
      </c>
      <c r="B380" t="s">
        <v>1237</v>
      </c>
      <c r="C380" s="2">
        <v>46192</v>
      </c>
      <c r="D380" s="3">
        <v>0.4465277777777778</v>
      </c>
      <c r="E380" s="3">
        <v>0.77013888888888893</v>
      </c>
      <c r="F380" s="4">
        <f>IF(OR(D380="",E380=""),"",E380-D380)</f>
        <v>0.32361111111111113</v>
      </c>
      <c r="G380" t="s">
        <v>1615</v>
      </c>
    </row>
    <row r="381" spans="1:7">
      <c r="A381" t="s">
        <v>1991</v>
      </c>
      <c r="B381" t="s">
        <v>1240</v>
      </c>
      <c r="C381" s="2">
        <v>46193</v>
      </c>
      <c r="D381" s="3">
        <v>0.37847222222222221</v>
      </c>
      <c r="E381" s="3">
        <v>0.77777777777777779</v>
      </c>
      <c r="F381" s="4">
        <f>IF(OR(D381="",E381=""),"",E381-D381)</f>
        <v>0.39930555555555558</v>
      </c>
      <c r="G381" t="s">
        <v>1610</v>
      </c>
    </row>
    <row r="382" spans="1:7">
      <c r="A382" t="s">
        <v>1992</v>
      </c>
      <c r="B382" t="s">
        <v>1243</v>
      </c>
      <c r="C382" s="2">
        <v>46194</v>
      </c>
      <c r="D382" s="3">
        <v>0.38333333333333336</v>
      </c>
      <c r="E382" s="3">
        <v>0.78541666666666665</v>
      </c>
      <c r="F382" s="4">
        <f>IF(OR(D382="",E382=""),"",E382-D382)</f>
        <v>0.40208333333333329</v>
      </c>
      <c r="G382" t="s">
        <v>1610</v>
      </c>
    </row>
    <row r="383" spans="1:7">
      <c r="A383" t="s">
        <v>1993</v>
      </c>
      <c r="B383" t="s">
        <v>1246</v>
      </c>
      <c r="C383" s="2">
        <v>46195</v>
      </c>
      <c r="D383" s="3">
        <v>0.38819444444444445</v>
      </c>
      <c r="E383" s="3">
        <v>0.75138888888888888</v>
      </c>
      <c r="F383" s="4">
        <f>IF(OR(D383="",E383=""),"",E383-D383)</f>
        <v>0.36319444444444443</v>
      </c>
      <c r="G383" t="s">
        <v>1610</v>
      </c>
    </row>
    <row r="384" spans="1:7">
      <c r="A384" t="s">
        <v>1994</v>
      </c>
      <c r="B384" t="s">
        <v>1249</v>
      </c>
      <c r="C384" s="2">
        <v>46196</v>
      </c>
      <c r="D384" s="3"/>
      <c r="E384" s="3"/>
      <c r="F384" s="4"/>
      <c r="G384" t="s">
        <v>1613</v>
      </c>
    </row>
    <row r="385" spans="1:7">
      <c r="A385" t="s">
        <v>1995</v>
      </c>
      <c r="B385" t="s">
        <v>1252</v>
      </c>
      <c r="C385" s="2">
        <v>46197</v>
      </c>
      <c r="D385" s="3">
        <v>0.43958333333333333</v>
      </c>
      <c r="E385" s="3">
        <v>0.76666666666666672</v>
      </c>
      <c r="F385" s="4">
        <f>IF(OR(D385="",E385=""),"",E385-D385)</f>
        <v>0.32708333333333339</v>
      </c>
      <c r="G385" t="s">
        <v>1615</v>
      </c>
    </row>
    <row r="386" spans="1:7">
      <c r="A386" t="s">
        <v>1996</v>
      </c>
      <c r="B386" t="s">
        <v>1255</v>
      </c>
      <c r="C386" s="2">
        <v>46198</v>
      </c>
      <c r="D386" s="3">
        <v>0.40277777777777779</v>
      </c>
      <c r="E386" s="3">
        <v>0.77430555555555558</v>
      </c>
      <c r="F386" s="4">
        <f>IF(OR(D386="",E386=""),"",E386-D386)</f>
        <v>0.37152777777777779</v>
      </c>
      <c r="G386" t="s">
        <v>1610</v>
      </c>
    </row>
    <row r="387" spans="1:7">
      <c r="A387" t="s">
        <v>1997</v>
      </c>
      <c r="B387" t="s">
        <v>1258</v>
      </c>
      <c r="C387" s="2">
        <v>46199</v>
      </c>
      <c r="D387" s="3">
        <v>0.37638888888888888</v>
      </c>
      <c r="E387" s="3">
        <v>0.78194444444444444</v>
      </c>
      <c r="F387" s="4">
        <f>IF(OR(D387="",E387=""),"",E387-D387)</f>
        <v>0.40555555555555556</v>
      </c>
      <c r="G387" t="s">
        <v>1610</v>
      </c>
    </row>
    <row r="388" spans="1:7">
      <c r="A388" t="s">
        <v>1998</v>
      </c>
      <c r="B388" t="s">
        <v>1261</v>
      </c>
      <c r="C388" s="2">
        <v>46200</v>
      </c>
      <c r="D388" s="3">
        <v>0.38124999999999998</v>
      </c>
      <c r="E388" s="3">
        <v>0.7895833333333333</v>
      </c>
      <c r="F388" s="4">
        <f>IF(OR(D388="",E388=""),"",E388-D388)</f>
        <v>0.40833333333333333</v>
      </c>
      <c r="G388" t="s">
        <v>1610</v>
      </c>
    </row>
    <row r="389" spans="1:7">
      <c r="A389" t="s">
        <v>1999</v>
      </c>
      <c r="B389" t="s">
        <v>1264</v>
      </c>
      <c r="C389" s="2">
        <v>46201</v>
      </c>
      <c r="D389" s="3"/>
      <c r="E389" s="3"/>
      <c r="F389" s="4"/>
      <c r="G389" t="s">
        <v>1613</v>
      </c>
    </row>
    <row r="390" spans="1:7">
      <c r="A390" t="s">
        <v>2000</v>
      </c>
      <c r="B390" t="s">
        <v>1267</v>
      </c>
      <c r="C390" s="2">
        <v>46202</v>
      </c>
      <c r="D390" s="3">
        <v>0.43263888888888891</v>
      </c>
      <c r="E390" s="3">
        <v>0.7631944444444444</v>
      </c>
      <c r="F390" s="4">
        <f>IF(OR(D390="",E390=""),"",E390-D390)</f>
        <v>0.33055555555555549</v>
      </c>
      <c r="G390" t="s">
        <v>1615</v>
      </c>
    </row>
    <row r="391" spans="1:7">
      <c r="A391" t="s">
        <v>2001</v>
      </c>
      <c r="B391" t="s">
        <v>1270</v>
      </c>
      <c r="C391" s="2">
        <v>46203</v>
      </c>
      <c r="D391" s="3">
        <v>0.39583333333333331</v>
      </c>
      <c r="E391" s="3">
        <v>0.77083333333333337</v>
      </c>
      <c r="F391" s="4">
        <f>IF(OR(D391="",E391=""),"",E391-D391)</f>
        <v>0.37500000000000006</v>
      </c>
      <c r="G391" t="s">
        <v>1610</v>
      </c>
    </row>
    <row r="392" spans="1:7">
      <c r="A392" t="s">
        <v>2002</v>
      </c>
      <c r="B392" t="s">
        <v>1273</v>
      </c>
      <c r="C392" s="2">
        <v>46174</v>
      </c>
      <c r="D392" s="3">
        <v>0.40069444444444446</v>
      </c>
      <c r="E392" s="3">
        <v>0.77847222222222223</v>
      </c>
      <c r="F392" s="4">
        <f>IF(OR(D392="",E392=""),"",E392-D392)</f>
        <v>0.37777777777777777</v>
      </c>
      <c r="G392" t="s">
        <v>1610</v>
      </c>
    </row>
    <row r="393" spans="1:7">
      <c r="A393" t="s">
        <v>2003</v>
      </c>
      <c r="B393" t="s">
        <v>1276</v>
      </c>
      <c r="C393" s="2">
        <v>46175</v>
      </c>
      <c r="D393" s="3">
        <v>0.40555555555555556</v>
      </c>
      <c r="E393" s="3">
        <v>0.78611111111111109</v>
      </c>
      <c r="F393" s="4">
        <f>IF(OR(D393="",E393=""),"",E393-D393)</f>
        <v>0.38055555555555554</v>
      </c>
      <c r="G393" t="s">
        <v>1610</v>
      </c>
    </row>
    <row r="394" spans="1:7">
      <c r="A394" t="s">
        <v>2004</v>
      </c>
      <c r="B394" t="s">
        <v>1279</v>
      </c>
      <c r="C394" s="2">
        <v>46176</v>
      </c>
      <c r="D394" s="3"/>
      <c r="E394" s="3"/>
      <c r="F394" s="4"/>
      <c r="G394" t="s">
        <v>1613</v>
      </c>
    </row>
    <row r="395" spans="1:7">
      <c r="A395" t="s">
        <v>2005</v>
      </c>
      <c r="B395" t="s">
        <v>1282</v>
      </c>
      <c r="C395" s="2">
        <v>46177</v>
      </c>
      <c r="D395" s="3">
        <v>0.42569444444444443</v>
      </c>
      <c r="E395" s="3">
        <v>0.75972222222222219</v>
      </c>
      <c r="F395" s="4">
        <f>IF(OR(D395="",E395=""),"",E395-D395)</f>
        <v>0.33402777777777776</v>
      </c>
      <c r="G395" t="s">
        <v>1615</v>
      </c>
    </row>
    <row r="396" spans="1:7">
      <c r="A396" t="s">
        <v>2006</v>
      </c>
      <c r="B396" t="s">
        <v>1285</v>
      </c>
      <c r="C396" s="2">
        <v>46178</v>
      </c>
      <c r="D396" s="3">
        <v>0.3888888888888889</v>
      </c>
      <c r="E396" s="3">
        <v>0.76736111111111116</v>
      </c>
      <c r="F396" s="4">
        <f>IF(OR(D396="",E396=""),"",E396-D396)</f>
        <v>0.37847222222222227</v>
      </c>
      <c r="G396" t="s">
        <v>1610</v>
      </c>
    </row>
    <row r="397" spans="1:7">
      <c r="A397" t="s">
        <v>2007</v>
      </c>
      <c r="B397" t="s">
        <v>1288</v>
      </c>
      <c r="C397" s="2">
        <v>46179</v>
      </c>
      <c r="D397" s="3">
        <v>0.39374999999999999</v>
      </c>
      <c r="E397" s="3">
        <v>0.77500000000000002</v>
      </c>
      <c r="F397" s="4">
        <f>IF(OR(D397="",E397=""),"",E397-D397)</f>
        <v>0.38125000000000003</v>
      </c>
      <c r="G397" t="s">
        <v>1610</v>
      </c>
    </row>
    <row r="398" spans="1:7">
      <c r="A398" t="s">
        <v>2008</v>
      </c>
      <c r="B398" t="s">
        <v>1291</v>
      </c>
      <c r="C398" s="2">
        <v>46180</v>
      </c>
      <c r="D398" s="3">
        <v>0.39861111111111114</v>
      </c>
      <c r="E398" s="3">
        <v>0.78263888888888888</v>
      </c>
      <c r="F398" s="4">
        <f>IF(OR(D398="",E398=""),"",E398-D398)</f>
        <v>0.38402777777777775</v>
      </c>
      <c r="G398" t="s">
        <v>1610</v>
      </c>
    </row>
    <row r="399" spans="1:7">
      <c r="A399" t="s">
        <v>2009</v>
      </c>
      <c r="B399" t="s">
        <v>1294</v>
      </c>
      <c r="C399" s="2">
        <v>46181</v>
      </c>
      <c r="D399" s="3"/>
      <c r="E399" s="3"/>
      <c r="F399" s="4"/>
      <c r="G399" t="s">
        <v>1613</v>
      </c>
    </row>
    <row r="400" spans="1:7">
      <c r="A400" t="s">
        <v>2010</v>
      </c>
      <c r="B400" t="s">
        <v>1297</v>
      </c>
      <c r="C400" s="2">
        <v>46182</v>
      </c>
      <c r="D400" s="3">
        <v>0.41875000000000001</v>
      </c>
      <c r="E400" s="3">
        <v>0.75624999999999998</v>
      </c>
      <c r="F400" s="4">
        <f>IF(OR(D400="",E400=""),"",E400-D400)</f>
        <v>0.33749999999999997</v>
      </c>
      <c r="G400" t="s">
        <v>1615</v>
      </c>
    </row>
    <row r="401" spans="1:7">
      <c r="A401" t="s">
        <v>2011</v>
      </c>
      <c r="B401" t="s">
        <v>1300</v>
      </c>
      <c r="C401" s="2">
        <v>46183</v>
      </c>
      <c r="D401" s="3">
        <v>0.38194444444444442</v>
      </c>
      <c r="E401" s="3">
        <v>0.76388888888888884</v>
      </c>
      <c r="F401" s="4">
        <f>IF(OR(D401="",E401=""),"",E401-D401)</f>
        <v>0.38194444444444442</v>
      </c>
      <c r="G401" t="s">
        <v>1610</v>
      </c>
    </row>
    <row r="402" spans="1:7">
      <c r="A402" t="s">
        <v>2012</v>
      </c>
      <c r="B402" t="s">
        <v>1303</v>
      </c>
      <c r="C402" s="2">
        <v>46184</v>
      </c>
      <c r="D402" s="3">
        <v>0.38680555555555557</v>
      </c>
      <c r="E402" s="3">
        <v>0.77152777777777781</v>
      </c>
      <c r="F402" s="4">
        <f>IF(OR(D402="",E402=""),"",E402-D402)</f>
        <v>0.38472222222222224</v>
      </c>
      <c r="G402" t="s">
        <v>1610</v>
      </c>
    </row>
    <row r="403" spans="1:7">
      <c r="A403" t="s">
        <v>2013</v>
      </c>
      <c r="B403" t="s">
        <v>1306</v>
      </c>
      <c r="C403" s="2">
        <v>46185</v>
      </c>
      <c r="D403" s="3">
        <v>0.39166666666666666</v>
      </c>
      <c r="E403" s="3">
        <v>0.77916666666666667</v>
      </c>
      <c r="F403" s="4">
        <f>IF(OR(D403="",E403=""),"",E403-D403)</f>
        <v>0.38750000000000001</v>
      </c>
      <c r="G403" t="s">
        <v>1610</v>
      </c>
    </row>
    <row r="404" spans="1:7">
      <c r="A404" t="s">
        <v>2014</v>
      </c>
      <c r="B404" t="s">
        <v>1309</v>
      </c>
      <c r="C404" s="2">
        <v>46186</v>
      </c>
      <c r="D404" s="3"/>
      <c r="E404" s="3"/>
      <c r="F404" s="4"/>
      <c r="G404" t="s">
        <v>1613</v>
      </c>
    </row>
    <row r="405" spans="1:7">
      <c r="A405" t="s">
        <v>2015</v>
      </c>
      <c r="B405" t="s">
        <v>1312</v>
      </c>
      <c r="C405" s="2">
        <v>46187</v>
      </c>
      <c r="D405" s="3">
        <v>0.44305555555555554</v>
      </c>
      <c r="E405" s="3">
        <v>0.75277777777777777</v>
      </c>
      <c r="F405" s="4">
        <f>IF(OR(D405="",E405=""),"",E405-D405)</f>
        <v>0.30972222222222223</v>
      </c>
      <c r="G405" t="s">
        <v>1615</v>
      </c>
    </row>
    <row r="406" spans="1:7">
      <c r="A406" t="s">
        <v>2016</v>
      </c>
      <c r="B406" t="s">
        <v>1315</v>
      </c>
      <c r="C406" s="2">
        <v>46188</v>
      </c>
      <c r="D406" s="3">
        <v>0.375</v>
      </c>
      <c r="E406" s="3">
        <v>0.76041666666666663</v>
      </c>
      <c r="F406" s="4">
        <f>IF(OR(D406="",E406=""),"",E406-D406)</f>
        <v>0.38541666666666663</v>
      </c>
      <c r="G406" t="s">
        <v>1610</v>
      </c>
    </row>
    <row r="407" spans="1:7">
      <c r="A407" t="s">
        <v>2017</v>
      </c>
      <c r="B407" t="s">
        <v>1318</v>
      </c>
      <c r="C407" s="2">
        <v>46189</v>
      </c>
      <c r="D407" s="3">
        <v>0.37986111111111109</v>
      </c>
      <c r="E407" s="3">
        <v>0.7680555555555556</v>
      </c>
      <c r="F407" s="4">
        <f>IF(OR(D407="",E407=""),"",E407-D407)</f>
        <v>0.38819444444444451</v>
      </c>
      <c r="G407" t="s">
        <v>1610</v>
      </c>
    </row>
    <row r="408" spans="1:7">
      <c r="A408" t="s">
        <v>2018</v>
      </c>
      <c r="B408" t="s">
        <v>1321</v>
      </c>
      <c r="C408" s="2">
        <v>46190</v>
      </c>
      <c r="D408" s="3">
        <v>0.38472222222222224</v>
      </c>
      <c r="E408" s="3">
        <v>0.77569444444444446</v>
      </c>
      <c r="F408" s="4">
        <f>IF(OR(D408="",E408=""),"",E408-D408)</f>
        <v>0.39097222222222222</v>
      </c>
      <c r="G408" t="s">
        <v>1610</v>
      </c>
    </row>
    <row r="409" spans="1:7">
      <c r="A409" t="s">
        <v>2019</v>
      </c>
      <c r="B409" t="s">
        <v>1324</v>
      </c>
      <c r="C409" s="2">
        <v>46191</v>
      </c>
      <c r="D409" s="3"/>
      <c r="E409" s="3"/>
      <c r="F409" s="4"/>
      <c r="G409" t="s">
        <v>1613</v>
      </c>
    </row>
    <row r="410" spans="1:7">
      <c r="A410" t="s">
        <v>2020</v>
      </c>
      <c r="B410" t="s">
        <v>1327</v>
      </c>
      <c r="C410" s="2">
        <v>46192</v>
      </c>
      <c r="D410" s="3">
        <v>0.43611111111111112</v>
      </c>
      <c r="E410" s="3">
        <v>0.79097222222222219</v>
      </c>
      <c r="F410" s="4">
        <f>IF(OR(D410="",E410=""),"",E410-D410)</f>
        <v>0.35486111111111107</v>
      </c>
      <c r="G410" t="s">
        <v>1615</v>
      </c>
    </row>
    <row r="411" spans="1:7">
      <c r="A411" t="s">
        <v>2021</v>
      </c>
      <c r="B411" t="s">
        <v>1330</v>
      </c>
      <c r="C411" s="2">
        <v>46193</v>
      </c>
      <c r="D411" s="3">
        <v>0.39930555555555558</v>
      </c>
      <c r="E411" s="3">
        <v>0.75694444444444442</v>
      </c>
      <c r="F411" s="4">
        <f>IF(OR(D411="",E411=""),"",E411-D411)</f>
        <v>0.35763888888888884</v>
      </c>
      <c r="G411" t="s">
        <v>1610</v>
      </c>
    </row>
    <row r="412" spans="1:7">
      <c r="A412" t="s">
        <v>2022</v>
      </c>
      <c r="B412" t="s">
        <v>1333</v>
      </c>
      <c r="C412" s="2">
        <v>46194</v>
      </c>
      <c r="D412" s="3">
        <v>0.40416666666666667</v>
      </c>
      <c r="E412" s="3">
        <v>0.76458333333333328</v>
      </c>
      <c r="F412" s="4">
        <f>IF(OR(D412="",E412=""),"",E412-D412)</f>
        <v>0.36041666666666661</v>
      </c>
      <c r="G412" t="s">
        <v>1610</v>
      </c>
    </row>
    <row r="413" spans="1:7">
      <c r="A413" t="s">
        <v>2023</v>
      </c>
      <c r="B413" t="s">
        <v>1336</v>
      </c>
      <c r="C413" s="2">
        <v>46195</v>
      </c>
      <c r="D413" s="3">
        <v>0.37777777777777777</v>
      </c>
      <c r="E413" s="3">
        <v>0.77222222222222225</v>
      </c>
      <c r="F413" s="4">
        <f>IF(OR(D413="",E413=""),"",E413-D413)</f>
        <v>0.39444444444444449</v>
      </c>
      <c r="G413" t="s">
        <v>1610</v>
      </c>
    </row>
    <row r="414" spans="1:7">
      <c r="A414" t="s">
        <v>2024</v>
      </c>
      <c r="B414" t="s">
        <v>1339</v>
      </c>
      <c r="C414" s="2">
        <v>46196</v>
      </c>
      <c r="D414" s="3"/>
      <c r="E414" s="3"/>
      <c r="F414" s="4"/>
      <c r="G414" t="s">
        <v>1613</v>
      </c>
    </row>
    <row r="415" spans="1:7">
      <c r="A415" t="s">
        <v>2025</v>
      </c>
      <c r="B415" t="s">
        <v>1342</v>
      </c>
      <c r="C415" s="2">
        <v>46197</v>
      </c>
      <c r="D415" s="3">
        <v>0.42916666666666664</v>
      </c>
      <c r="E415" s="3">
        <v>0.78749999999999998</v>
      </c>
      <c r="F415" s="4">
        <f>IF(OR(D415="",E415=""),"",E415-D415)</f>
        <v>0.35833333333333334</v>
      </c>
      <c r="G415" t="s">
        <v>1615</v>
      </c>
    </row>
    <row r="416" spans="1:7">
      <c r="A416" t="s">
        <v>2026</v>
      </c>
      <c r="B416" t="s">
        <v>1345</v>
      </c>
      <c r="C416" s="2">
        <v>46198</v>
      </c>
      <c r="D416" s="3">
        <v>0.3923611111111111</v>
      </c>
      <c r="E416" s="3">
        <v>0.75347222222222221</v>
      </c>
      <c r="F416" s="4">
        <f>IF(OR(D416="",E416=""),"",E416-D416)</f>
        <v>0.3611111111111111</v>
      </c>
      <c r="G416" t="s">
        <v>1610</v>
      </c>
    </row>
    <row r="417" spans="1:7">
      <c r="A417" t="s">
        <v>2027</v>
      </c>
      <c r="B417" t="s">
        <v>1348</v>
      </c>
      <c r="C417" s="2">
        <v>46199</v>
      </c>
      <c r="D417" s="3">
        <v>0.3972222222222222</v>
      </c>
      <c r="E417" s="3">
        <v>0.76111111111111107</v>
      </c>
      <c r="F417" s="4">
        <f>IF(OR(D417="",E417=""),"",E417-D417)</f>
        <v>0.36388888888888887</v>
      </c>
      <c r="G417" t="s">
        <v>1610</v>
      </c>
    </row>
    <row r="418" spans="1:7">
      <c r="A418" t="s">
        <v>2028</v>
      </c>
      <c r="B418" t="s">
        <v>1351</v>
      </c>
      <c r="C418" s="2">
        <v>46200</v>
      </c>
      <c r="D418" s="3">
        <v>0.40208333333333335</v>
      </c>
      <c r="E418" s="3">
        <v>0.76875000000000004</v>
      </c>
      <c r="F418" s="4">
        <f>IF(OR(D418="",E418=""),"",E418-D418)</f>
        <v>0.3666666666666667</v>
      </c>
      <c r="G418" t="s">
        <v>1610</v>
      </c>
    </row>
    <row r="419" spans="1:7">
      <c r="A419" t="s">
        <v>2029</v>
      </c>
      <c r="B419" t="s">
        <v>1354</v>
      </c>
      <c r="C419" s="2">
        <v>46201</v>
      </c>
      <c r="D419" s="3"/>
      <c r="E419" s="3"/>
      <c r="F419" s="4"/>
      <c r="G419" t="s">
        <v>1613</v>
      </c>
    </row>
    <row r="420" spans="1:7">
      <c r="A420" t="s">
        <v>2030</v>
      </c>
      <c r="B420" t="s">
        <v>1357</v>
      </c>
      <c r="C420" s="2">
        <v>46202</v>
      </c>
      <c r="D420" s="3">
        <v>0.42222222222222222</v>
      </c>
      <c r="E420" s="3">
        <v>0.78402777777777777</v>
      </c>
      <c r="F420" s="4">
        <f>IF(OR(D420="",E420=""),"",E420-D420)</f>
        <v>0.36180555555555555</v>
      </c>
      <c r="G420" t="s">
        <v>1615</v>
      </c>
    </row>
    <row r="421" spans="1:7">
      <c r="A421" t="s">
        <v>2031</v>
      </c>
      <c r="B421" t="s">
        <v>1360</v>
      </c>
      <c r="C421" s="2">
        <v>46203</v>
      </c>
      <c r="D421" s="3">
        <v>0.38541666666666669</v>
      </c>
      <c r="E421" s="3">
        <v>0.75</v>
      </c>
      <c r="F421" s="4">
        <f>IF(OR(D421="",E421=""),"",E421-D421)</f>
        <v>0.36458333333333331</v>
      </c>
      <c r="G421" t="s">
        <v>1610</v>
      </c>
    </row>
    <row r="422" spans="1:7">
      <c r="A422" t="s">
        <v>2032</v>
      </c>
      <c r="B422" t="s">
        <v>1363</v>
      </c>
      <c r="C422" s="2">
        <v>46174</v>
      </c>
      <c r="D422" s="3">
        <v>0.39027777777777778</v>
      </c>
      <c r="E422" s="3">
        <v>0.75763888888888886</v>
      </c>
      <c r="F422" s="4">
        <f>IF(OR(D422="",E422=""),"",E422-D422)</f>
        <v>0.36736111111111108</v>
      </c>
      <c r="G422" t="s">
        <v>1610</v>
      </c>
    </row>
    <row r="423" spans="1:7">
      <c r="A423" t="s">
        <v>2033</v>
      </c>
      <c r="B423" t="s">
        <v>1366</v>
      </c>
      <c r="C423" s="2">
        <v>46175</v>
      </c>
      <c r="D423" s="3">
        <v>0.39513888888888887</v>
      </c>
      <c r="E423" s="3">
        <v>0.76527777777777772</v>
      </c>
      <c r="F423" s="4">
        <f>IF(OR(D423="",E423=""),"",E423-D423)</f>
        <v>0.37013888888888885</v>
      </c>
      <c r="G423" t="s">
        <v>1610</v>
      </c>
    </row>
    <row r="424" spans="1:7">
      <c r="A424" t="s">
        <v>2034</v>
      </c>
      <c r="B424" t="s">
        <v>1369</v>
      </c>
      <c r="C424" s="2">
        <v>46176</v>
      </c>
      <c r="D424" s="3"/>
      <c r="E424" s="3"/>
      <c r="F424" s="4"/>
      <c r="G424" t="s">
        <v>1613</v>
      </c>
    </row>
    <row r="425" spans="1:7">
      <c r="A425" t="s">
        <v>2035</v>
      </c>
      <c r="B425" t="s">
        <v>1372</v>
      </c>
      <c r="C425" s="2">
        <v>46177</v>
      </c>
      <c r="D425" s="3">
        <v>0.4465277777777778</v>
      </c>
      <c r="E425" s="3">
        <v>0.78055555555555556</v>
      </c>
      <c r="F425" s="4">
        <f>IF(OR(D425="",E425=""),"",E425-D425)</f>
        <v>0.33402777777777776</v>
      </c>
      <c r="G425" t="s">
        <v>1615</v>
      </c>
    </row>
    <row r="426" spans="1:7">
      <c r="A426" t="s">
        <v>2036</v>
      </c>
      <c r="B426" t="s">
        <v>1375</v>
      </c>
      <c r="C426" s="2">
        <v>46178</v>
      </c>
      <c r="D426" s="3">
        <v>0.37847222222222221</v>
      </c>
      <c r="E426" s="3">
        <v>0.78819444444444442</v>
      </c>
      <c r="F426" s="4">
        <f>IF(OR(D426="",E426=""),"",E426-D426)</f>
        <v>0.40972222222222221</v>
      </c>
      <c r="G426" t="s">
        <v>1610</v>
      </c>
    </row>
    <row r="427" spans="1:7">
      <c r="A427" t="s">
        <v>2037</v>
      </c>
      <c r="B427" t="s">
        <v>1378</v>
      </c>
      <c r="C427" s="2">
        <v>46179</v>
      </c>
      <c r="D427" s="3">
        <v>0.38333333333333336</v>
      </c>
      <c r="E427" s="3">
        <v>0.75416666666666665</v>
      </c>
      <c r="F427" s="4">
        <f>IF(OR(D427="",E427=""),"",E427-D427)</f>
        <v>0.37083333333333329</v>
      </c>
      <c r="G427" t="s">
        <v>1610</v>
      </c>
    </row>
    <row r="428" spans="1:7">
      <c r="A428" t="s">
        <v>2038</v>
      </c>
      <c r="B428" t="s">
        <v>1381</v>
      </c>
      <c r="C428" s="2">
        <v>46180</v>
      </c>
      <c r="D428" s="3">
        <v>0.38819444444444445</v>
      </c>
      <c r="E428" s="3">
        <v>0.76180555555555551</v>
      </c>
      <c r="F428" s="4">
        <f>IF(OR(D428="",E428=""),"",E428-D428)</f>
        <v>0.37361111111111106</v>
      </c>
      <c r="G428" t="s">
        <v>1610</v>
      </c>
    </row>
    <row r="429" spans="1:7">
      <c r="A429" t="s">
        <v>2039</v>
      </c>
      <c r="B429" t="s">
        <v>1384</v>
      </c>
      <c r="C429" s="2">
        <v>46181</v>
      </c>
      <c r="D429" s="3"/>
      <c r="E429" s="3"/>
      <c r="F429" s="4"/>
      <c r="G429" t="s">
        <v>1613</v>
      </c>
    </row>
    <row r="430" spans="1:7">
      <c r="A430" t="s">
        <v>2040</v>
      </c>
      <c r="B430" t="s">
        <v>1387</v>
      </c>
      <c r="C430" s="2">
        <v>46182</v>
      </c>
      <c r="D430" s="3">
        <v>0.43958333333333333</v>
      </c>
      <c r="E430" s="3">
        <v>0.77708333333333335</v>
      </c>
      <c r="F430" s="4">
        <f>IF(OR(D430="",E430=""),"",E430-D430)</f>
        <v>0.33750000000000002</v>
      </c>
      <c r="G430" t="s">
        <v>1615</v>
      </c>
    </row>
    <row r="431" spans="1:7">
      <c r="A431" t="s">
        <v>2041</v>
      </c>
      <c r="B431" t="s">
        <v>1390</v>
      </c>
      <c r="C431" s="2">
        <v>46183</v>
      </c>
      <c r="D431" s="3">
        <v>0.40277777777777779</v>
      </c>
      <c r="E431" s="3">
        <v>0.78472222222222221</v>
      </c>
      <c r="F431" s="4">
        <f>IF(OR(D431="",E431=""),"",E431-D431)</f>
        <v>0.38194444444444442</v>
      </c>
      <c r="G431" t="s">
        <v>1610</v>
      </c>
    </row>
    <row r="432" spans="1:7">
      <c r="A432" t="s">
        <v>2042</v>
      </c>
      <c r="B432" t="s">
        <v>1393</v>
      </c>
      <c r="C432" s="2">
        <v>46184</v>
      </c>
      <c r="D432" s="3">
        <v>0.37638888888888888</v>
      </c>
      <c r="E432" s="3">
        <v>0.75069444444444444</v>
      </c>
      <c r="F432" s="4">
        <f>IF(OR(D432="",E432=""),"",E432-D432)</f>
        <v>0.37430555555555556</v>
      </c>
      <c r="G432" t="s">
        <v>1610</v>
      </c>
    </row>
    <row r="433" spans="1:7">
      <c r="A433" t="s">
        <v>2043</v>
      </c>
      <c r="B433" t="s">
        <v>1396</v>
      </c>
      <c r="C433" s="2">
        <v>46185</v>
      </c>
      <c r="D433" s="3">
        <v>0.38124999999999998</v>
      </c>
      <c r="E433" s="3">
        <v>0.7583333333333333</v>
      </c>
      <c r="F433" s="4">
        <f>IF(OR(D433="",E433=""),"",E433-D433)</f>
        <v>0.37708333333333333</v>
      </c>
      <c r="G433" t="s">
        <v>1610</v>
      </c>
    </row>
    <row r="434" spans="1:7">
      <c r="A434" t="s">
        <v>2044</v>
      </c>
      <c r="B434" t="s">
        <v>1399</v>
      </c>
      <c r="C434" s="2">
        <v>46186</v>
      </c>
      <c r="D434" s="3"/>
      <c r="E434" s="3"/>
      <c r="F434" s="4"/>
      <c r="G434" t="s">
        <v>1613</v>
      </c>
    </row>
    <row r="435" spans="1:7">
      <c r="A435" t="s">
        <v>2045</v>
      </c>
      <c r="B435" t="s">
        <v>1402</v>
      </c>
      <c r="C435" s="2">
        <v>46187</v>
      </c>
      <c r="D435" s="3">
        <v>0.43263888888888891</v>
      </c>
      <c r="E435" s="3">
        <v>0.77361111111111114</v>
      </c>
      <c r="F435" s="4">
        <f>IF(OR(D435="",E435=""),"",E435-D435)</f>
        <v>0.34097222222222223</v>
      </c>
      <c r="G435" t="s">
        <v>1615</v>
      </c>
    </row>
    <row r="436" spans="1:7">
      <c r="A436" t="s">
        <v>2046</v>
      </c>
      <c r="B436" t="s">
        <v>1405</v>
      </c>
      <c r="C436" s="2">
        <v>46188</v>
      </c>
      <c r="D436" s="3">
        <v>0.39583333333333331</v>
      </c>
      <c r="E436" s="3">
        <v>0.78125</v>
      </c>
      <c r="F436" s="4">
        <f>IF(OR(D436="",E436=""),"",E436-D436)</f>
        <v>0.38541666666666669</v>
      </c>
      <c r="G436" t="s">
        <v>1610</v>
      </c>
    </row>
    <row r="437" spans="1:7">
      <c r="A437" t="s">
        <v>2047</v>
      </c>
      <c r="B437" t="s">
        <v>1408</v>
      </c>
      <c r="C437" s="2">
        <v>46189</v>
      </c>
      <c r="D437" s="3">
        <v>0.40069444444444446</v>
      </c>
      <c r="E437" s="3">
        <v>0.78888888888888886</v>
      </c>
      <c r="F437" s="4">
        <f>IF(OR(D437="",E437=""),"",E437-D437)</f>
        <v>0.3881944444444444</v>
      </c>
      <c r="G437" t="s">
        <v>1610</v>
      </c>
    </row>
    <row r="438" spans="1:7">
      <c r="A438" t="s">
        <v>2048</v>
      </c>
      <c r="B438" t="s">
        <v>1411</v>
      </c>
      <c r="C438" s="2">
        <v>46190</v>
      </c>
      <c r="D438" s="3">
        <v>0.40555555555555556</v>
      </c>
      <c r="E438" s="3">
        <v>0.75486111111111109</v>
      </c>
      <c r="F438" s="4">
        <f>IF(OR(D438="",E438=""),"",E438-D438)</f>
        <v>0.34930555555555554</v>
      </c>
      <c r="G438" t="s">
        <v>1610</v>
      </c>
    </row>
    <row r="439" spans="1:7">
      <c r="A439" t="s">
        <v>2049</v>
      </c>
      <c r="B439" t="s">
        <v>1414</v>
      </c>
      <c r="C439" s="2">
        <v>46191</v>
      </c>
      <c r="D439" s="3"/>
      <c r="E439" s="3"/>
      <c r="F439" s="4"/>
      <c r="G439" t="s">
        <v>1613</v>
      </c>
    </row>
    <row r="440" spans="1:7">
      <c r="A440" t="s">
        <v>2050</v>
      </c>
      <c r="B440" t="s">
        <v>1417</v>
      </c>
      <c r="C440" s="2">
        <v>46192</v>
      </c>
      <c r="D440" s="3">
        <v>0.42569444444444443</v>
      </c>
      <c r="E440" s="3">
        <v>0.77013888888888893</v>
      </c>
      <c r="F440" s="4">
        <f>IF(OR(D440="",E440=""),"",E440-D440)</f>
        <v>0.3444444444444445</v>
      </c>
      <c r="G440" t="s">
        <v>1615</v>
      </c>
    </row>
    <row r="441" spans="1:7">
      <c r="A441" t="s">
        <v>2051</v>
      </c>
      <c r="B441" t="s">
        <v>1420</v>
      </c>
      <c r="C441" s="2">
        <v>46193</v>
      </c>
      <c r="D441" s="3">
        <v>0.3888888888888889</v>
      </c>
      <c r="E441" s="3">
        <v>0.77777777777777779</v>
      </c>
      <c r="F441" s="4">
        <f>IF(OR(D441="",E441=""),"",E441-D441)</f>
        <v>0.3888888888888889</v>
      </c>
      <c r="G441" t="s">
        <v>1610</v>
      </c>
    </row>
    <row r="442" spans="1:7">
      <c r="A442" t="s">
        <v>2052</v>
      </c>
      <c r="B442" t="s">
        <v>1423</v>
      </c>
      <c r="C442" s="2">
        <v>46194</v>
      </c>
      <c r="D442" s="3">
        <v>0.39374999999999999</v>
      </c>
      <c r="E442" s="3">
        <v>0.78541666666666665</v>
      </c>
      <c r="F442" s="4">
        <f>IF(OR(D442="",E442=""),"",E442-D442)</f>
        <v>0.39166666666666666</v>
      </c>
      <c r="G442" t="s">
        <v>1610</v>
      </c>
    </row>
    <row r="443" spans="1:7">
      <c r="A443" t="s">
        <v>2053</v>
      </c>
      <c r="B443" t="s">
        <v>1426</v>
      </c>
      <c r="C443" s="2">
        <v>46195</v>
      </c>
      <c r="D443" s="3">
        <v>0.39861111111111114</v>
      </c>
      <c r="E443" s="3">
        <v>0.75138888888888888</v>
      </c>
      <c r="F443" s="4">
        <f>IF(OR(D443="",E443=""),"",E443-D443)</f>
        <v>0.35277777777777775</v>
      </c>
      <c r="G443" t="s">
        <v>1610</v>
      </c>
    </row>
    <row r="444" spans="1:7">
      <c r="A444" t="s">
        <v>2054</v>
      </c>
      <c r="B444" t="s">
        <v>1429</v>
      </c>
      <c r="C444" s="2">
        <v>46196</v>
      </c>
      <c r="D444" s="3"/>
      <c r="E444" s="3"/>
      <c r="F444" s="4"/>
      <c r="G444" t="s">
        <v>1613</v>
      </c>
    </row>
    <row r="445" spans="1:7">
      <c r="A445" t="s">
        <v>2055</v>
      </c>
      <c r="B445" t="s">
        <v>1432</v>
      </c>
      <c r="C445" s="2">
        <v>46197</v>
      </c>
      <c r="D445" s="3">
        <v>0.41875000000000001</v>
      </c>
      <c r="E445" s="3">
        <v>0.76666666666666672</v>
      </c>
      <c r="F445" s="4">
        <f>IF(OR(D445="",E445=""),"",E445-D445)</f>
        <v>0.34791666666666671</v>
      </c>
      <c r="G445" t="s">
        <v>1615</v>
      </c>
    </row>
    <row r="446" spans="1:7">
      <c r="A446" t="s">
        <v>2056</v>
      </c>
      <c r="B446" t="s">
        <v>1435</v>
      </c>
      <c r="C446" s="2">
        <v>46198</v>
      </c>
      <c r="D446" s="3">
        <v>0.38194444444444442</v>
      </c>
      <c r="E446" s="3">
        <v>0.77430555555555558</v>
      </c>
      <c r="F446" s="4">
        <f>IF(OR(D446="",E446=""),"",E446-D446)</f>
        <v>0.39236111111111116</v>
      </c>
      <c r="G446" t="s">
        <v>1610</v>
      </c>
    </row>
    <row r="447" spans="1:7">
      <c r="A447" t="s">
        <v>2057</v>
      </c>
      <c r="B447" t="s">
        <v>1438</v>
      </c>
      <c r="C447" s="2">
        <v>46199</v>
      </c>
      <c r="D447" s="3">
        <v>0.38680555555555557</v>
      </c>
      <c r="E447" s="3">
        <v>0.78194444444444444</v>
      </c>
      <c r="F447" s="4">
        <f>IF(OR(D447="",E447=""),"",E447-D447)</f>
        <v>0.39513888888888887</v>
      </c>
      <c r="G447" t="s">
        <v>1610</v>
      </c>
    </row>
    <row r="448" spans="1:7">
      <c r="A448" t="s">
        <v>2058</v>
      </c>
      <c r="B448" t="s">
        <v>1441</v>
      </c>
      <c r="C448" s="2">
        <v>46200</v>
      </c>
      <c r="D448" s="3">
        <v>0.39166666666666666</v>
      </c>
      <c r="E448" s="3">
        <v>0.7895833333333333</v>
      </c>
      <c r="F448" s="4">
        <f>IF(OR(D448="",E448=""),"",E448-D448)</f>
        <v>0.39791666666666664</v>
      </c>
      <c r="G448" t="s">
        <v>1610</v>
      </c>
    </row>
    <row r="449" spans="1:7">
      <c r="A449" t="s">
        <v>2059</v>
      </c>
      <c r="B449" t="s">
        <v>1444</v>
      </c>
      <c r="C449" s="2">
        <v>46201</v>
      </c>
      <c r="D449" s="3"/>
      <c r="E449" s="3"/>
      <c r="F449" s="4"/>
      <c r="G449" t="s">
        <v>1613</v>
      </c>
    </row>
    <row r="450" spans="1:7">
      <c r="A450" t="s">
        <v>2060</v>
      </c>
      <c r="B450" t="s">
        <v>1447</v>
      </c>
      <c r="C450" s="2">
        <v>46202</v>
      </c>
      <c r="D450" s="3">
        <v>0.44305555555555554</v>
      </c>
      <c r="E450" s="3">
        <v>0.7631944444444444</v>
      </c>
      <c r="F450" s="4">
        <f>IF(OR(D450="",E450=""),"",E450-D450)</f>
        <v>0.32013888888888886</v>
      </c>
      <c r="G450" t="s">
        <v>1615</v>
      </c>
    </row>
    <row r="451" spans="1:7">
      <c r="A451" t="s">
        <v>2061</v>
      </c>
      <c r="B451" t="s">
        <v>1450</v>
      </c>
      <c r="C451" s="2">
        <v>46203</v>
      </c>
      <c r="D451" s="3">
        <v>0.375</v>
      </c>
      <c r="E451" s="3">
        <v>0.77083333333333337</v>
      </c>
      <c r="F451" s="4">
        <f>IF(OR(D451="",E451=""),"",E451-D451)</f>
        <v>0.39583333333333337</v>
      </c>
      <c r="G451" t="s">
        <v>1610</v>
      </c>
    </row>
    <row r="452" spans="1:7">
      <c r="A452" t="s">
        <v>2062</v>
      </c>
      <c r="B452" t="s">
        <v>1453</v>
      </c>
      <c r="C452" s="2">
        <v>46174</v>
      </c>
      <c r="D452" s="3">
        <v>0.37986111111111109</v>
      </c>
      <c r="E452" s="3">
        <v>0.77847222222222223</v>
      </c>
      <c r="F452" s="4">
        <f>IF(OR(D452="",E452=""),"",E452-D452)</f>
        <v>0.39861111111111114</v>
      </c>
      <c r="G452" t="s">
        <v>1610</v>
      </c>
    </row>
    <row r="453" spans="1:7">
      <c r="A453" t="s">
        <v>2063</v>
      </c>
      <c r="B453" t="s">
        <v>1456</v>
      </c>
      <c r="C453" s="2">
        <v>46175</v>
      </c>
      <c r="D453" s="3">
        <v>0.38472222222222224</v>
      </c>
      <c r="E453" s="3">
        <v>0.78611111111111109</v>
      </c>
      <c r="F453" s="4">
        <f>IF(OR(D453="",E453=""),"",E453-D453)</f>
        <v>0.40138888888888885</v>
      </c>
      <c r="G453" t="s">
        <v>1610</v>
      </c>
    </row>
    <row r="454" spans="1:7">
      <c r="A454" t="s">
        <v>2064</v>
      </c>
      <c r="B454" t="s">
        <v>1459</v>
      </c>
      <c r="C454" s="2">
        <v>46176</v>
      </c>
      <c r="D454" s="3"/>
      <c r="E454" s="3"/>
      <c r="F454" s="4"/>
      <c r="G454" t="s">
        <v>1613</v>
      </c>
    </row>
    <row r="455" spans="1:7">
      <c r="A455" t="s">
        <v>2065</v>
      </c>
      <c r="B455" t="s">
        <v>1462</v>
      </c>
      <c r="C455" s="2">
        <v>46177</v>
      </c>
      <c r="D455" s="3">
        <v>0.43611111111111112</v>
      </c>
      <c r="E455" s="3">
        <v>0.75972222222222219</v>
      </c>
      <c r="F455" s="4">
        <f>IF(OR(D455="",E455=""),"",E455-D455)</f>
        <v>0.32361111111111107</v>
      </c>
      <c r="G455" t="s">
        <v>1615</v>
      </c>
    </row>
    <row r="456" spans="1:7">
      <c r="A456" t="s">
        <v>2066</v>
      </c>
      <c r="B456" t="s">
        <v>1465</v>
      </c>
      <c r="C456" s="2">
        <v>46178</v>
      </c>
      <c r="D456" s="3">
        <v>0.39930555555555558</v>
      </c>
      <c r="E456" s="3">
        <v>0.76736111111111116</v>
      </c>
      <c r="F456" s="4">
        <f>IF(OR(D456="",E456=""),"",E456-D456)</f>
        <v>0.36805555555555558</v>
      </c>
      <c r="G456" t="s">
        <v>1610</v>
      </c>
    </row>
    <row r="457" spans="1:7">
      <c r="A457" t="s">
        <v>2067</v>
      </c>
      <c r="B457" t="s">
        <v>1468</v>
      </c>
      <c r="C457" s="2">
        <v>46179</v>
      </c>
      <c r="D457" s="3">
        <v>0.40416666666666667</v>
      </c>
      <c r="E457" s="3">
        <v>0.77500000000000002</v>
      </c>
      <c r="F457" s="4">
        <f>IF(OR(D457="",E457=""),"",E457-D457)</f>
        <v>0.37083333333333335</v>
      </c>
      <c r="G457" t="s">
        <v>1610</v>
      </c>
    </row>
    <row r="458" spans="1:7">
      <c r="A458" t="s">
        <v>2068</v>
      </c>
      <c r="B458" t="s">
        <v>1471</v>
      </c>
      <c r="C458" s="2">
        <v>46180</v>
      </c>
      <c r="D458" s="3">
        <v>0.37777777777777777</v>
      </c>
      <c r="E458" s="3">
        <v>0.78263888888888888</v>
      </c>
      <c r="F458" s="4">
        <f>IF(OR(D458="",E458=""),"",E458-D458)</f>
        <v>0.40486111111111112</v>
      </c>
      <c r="G458" t="s">
        <v>1610</v>
      </c>
    </row>
    <row r="459" spans="1:7">
      <c r="A459" t="s">
        <v>2069</v>
      </c>
      <c r="B459" t="s">
        <v>1474</v>
      </c>
      <c r="C459" s="2">
        <v>46181</v>
      </c>
      <c r="D459" s="3"/>
      <c r="E459" s="3"/>
      <c r="F459" s="4"/>
      <c r="G459" t="s">
        <v>1613</v>
      </c>
    </row>
    <row r="460" spans="1:7">
      <c r="A460" t="s">
        <v>2070</v>
      </c>
      <c r="B460" t="s">
        <v>1477</v>
      </c>
      <c r="C460" s="2">
        <v>46182</v>
      </c>
      <c r="D460" s="3">
        <v>0.42916666666666664</v>
      </c>
      <c r="E460" s="3">
        <v>0.75624999999999998</v>
      </c>
      <c r="F460" s="4">
        <f>IF(OR(D460="",E460=""),"",E460-D460)</f>
        <v>0.32708333333333334</v>
      </c>
      <c r="G460" t="s">
        <v>1615</v>
      </c>
    </row>
    <row r="461" spans="1:7">
      <c r="A461" t="s">
        <v>2071</v>
      </c>
      <c r="B461" t="s">
        <v>1480</v>
      </c>
      <c r="C461" s="2">
        <v>46183</v>
      </c>
      <c r="D461" s="3">
        <v>0.3923611111111111</v>
      </c>
      <c r="E461" s="3">
        <v>0.76388888888888884</v>
      </c>
      <c r="F461" s="4">
        <f>IF(OR(D461="",E461=""),"",E461-D461)</f>
        <v>0.37152777777777773</v>
      </c>
      <c r="G461" t="s">
        <v>1610</v>
      </c>
    </row>
    <row r="462" spans="1:7">
      <c r="A462" t="s">
        <v>2072</v>
      </c>
      <c r="B462" t="s">
        <v>1483</v>
      </c>
      <c r="C462" s="2">
        <v>46184</v>
      </c>
      <c r="D462" s="3">
        <v>0.3972222222222222</v>
      </c>
      <c r="E462" s="3">
        <v>0.77152777777777781</v>
      </c>
      <c r="F462" s="4">
        <f>IF(OR(D462="",E462=""),"",E462-D462)</f>
        <v>0.37430555555555561</v>
      </c>
      <c r="G462" t="s">
        <v>1610</v>
      </c>
    </row>
    <row r="463" spans="1:7">
      <c r="A463" t="s">
        <v>2073</v>
      </c>
      <c r="B463" t="s">
        <v>1486</v>
      </c>
      <c r="C463" s="2">
        <v>46185</v>
      </c>
      <c r="D463" s="3">
        <v>0.40208333333333335</v>
      </c>
      <c r="E463" s="3">
        <v>0.77916666666666667</v>
      </c>
      <c r="F463" s="4">
        <f>IF(OR(D463="",E463=""),"",E463-D463)</f>
        <v>0.37708333333333333</v>
      </c>
      <c r="G463" t="s">
        <v>1610</v>
      </c>
    </row>
    <row r="464" spans="1:7">
      <c r="A464" t="s">
        <v>2074</v>
      </c>
      <c r="B464" t="s">
        <v>1489</v>
      </c>
      <c r="C464" s="2">
        <v>46186</v>
      </c>
      <c r="D464" s="3"/>
      <c r="E464" s="3"/>
      <c r="F464" s="4"/>
      <c r="G464" t="s">
        <v>1613</v>
      </c>
    </row>
    <row r="465" spans="1:7">
      <c r="A465" t="s">
        <v>2075</v>
      </c>
      <c r="B465" t="s">
        <v>1492</v>
      </c>
      <c r="C465" s="2">
        <v>46187</v>
      </c>
      <c r="D465" s="3">
        <v>0.42222222222222222</v>
      </c>
      <c r="E465" s="3">
        <v>0.75277777777777777</v>
      </c>
      <c r="F465" s="4">
        <f>IF(OR(D465="",E465=""),"",E465-D465)</f>
        <v>0.33055555555555555</v>
      </c>
      <c r="G465" t="s">
        <v>1615</v>
      </c>
    </row>
    <row r="466" spans="1:7">
      <c r="A466" t="s">
        <v>2076</v>
      </c>
      <c r="B466" t="s">
        <v>1495</v>
      </c>
      <c r="C466" s="2">
        <v>46188</v>
      </c>
      <c r="D466" s="3">
        <v>0.38541666666666669</v>
      </c>
      <c r="E466" s="3">
        <v>0.76041666666666663</v>
      </c>
      <c r="F466" s="4">
        <f>IF(OR(D466="",E466=""),"",E466-D466)</f>
        <v>0.37499999999999994</v>
      </c>
      <c r="G466" t="s">
        <v>1610</v>
      </c>
    </row>
    <row r="467" spans="1:7">
      <c r="A467" t="s">
        <v>2077</v>
      </c>
      <c r="B467" t="s">
        <v>1498</v>
      </c>
      <c r="C467" s="2">
        <v>46189</v>
      </c>
      <c r="D467" s="3">
        <v>0.39027777777777778</v>
      </c>
      <c r="E467" s="3">
        <v>0.7680555555555556</v>
      </c>
      <c r="F467" s="4">
        <f>IF(OR(D467="",E467=""),"",E467-D467)</f>
        <v>0.37777777777777782</v>
      </c>
      <c r="G467" t="s">
        <v>1610</v>
      </c>
    </row>
    <row r="468" spans="1:7">
      <c r="A468" t="s">
        <v>2078</v>
      </c>
      <c r="B468" t="s">
        <v>1501</v>
      </c>
      <c r="C468" s="2">
        <v>46190</v>
      </c>
      <c r="D468" s="3">
        <v>0.39513888888888887</v>
      </c>
      <c r="E468" s="3">
        <v>0.77569444444444446</v>
      </c>
      <c r="F468" s="4">
        <f>IF(OR(D468="",E468=""),"",E468-D468)</f>
        <v>0.38055555555555559</v>
      </c>
      <c r="G468" t="s">
        <v>1610</v>
      </c>
    </row>
    <row r="469" spans="1:7">
      <c r="A469" t="s">
        <v>2079</v>
      </c>
      <c r="B469" t="s">
        <v>1504</v>
      </c>
      <c r="C469" s="2">
        <v>46191</v>
      </c>
      <c r="D469" s="3"/>
      <c r="E469" s="3"/>
      <c r="F469" s="4"/>
      <c r="G469" t="s">
        <v>1613</v>
      </c>
    </row>
    <row r="470" spans="1:7">
      <c r="A470" t="s">
        <v>2080</v>
      </c>
      <c r="B470" t="s">
        <v>1507</v>
      </c>
      <c r="C470" s="2">
        <v>46192</v>
      </c>
      <c r="D470" s="3">
        <v>0.4465277777777778</v>
      </c>
      <c r="E470" s="3">
        <v>0.79097222222222219</v>
      </c>
      <c r="F470" s="4">
        <f>IF(OR(D470="",E470=""),"",E470-D470)</f>
        <v>0.34444444444444439</v>
      </c>
      <c r="G470" t="s">
        <v>1615</v>
      </c>
    </row>
    <row r="471" spans="1:7">
      <c r="A471" t="s">
        <v>2081</v>
      </c>
      <c r="B471" t="s">
        <v>1510</v>
      </c>
      <c r="C471" s="2">
        <v>46193</v>
      </c>
      <c r="D471" s="3">
        <v>0.37847222222222221</v>
      </c>
      <c r="E471" s="3">
        <v>0.75694444444444442</v>
      </c>
      <c r="F471" s="4">
        <f>IF(OR(D471="",E471=""),"",E471-D471)</f>
        <v>0.37847222222222221</v>
      </c>
      <c r="G471" t="s">
        <v>1610</v>
      </c>
    </row>
    <row r="472" spans="1:7">
      <c r="A472" t="s">
        <v>2082</v>
      </c>
      <c r="B472" t="s">
        <v>1513</v>
      </c>
      <c r="C472" s="2">
        <v>46194</v>
      </c>
      <c r="D472" s="3">
        <v>0.38333333333333336</v>
      </c>
      <c r="E472" s="3">
        <v>0.76458333333333328</v>
      </c>
      <c r="F472" s="4">
        <f>IF(OR(D472="",E472=""),"",E472-D472)</f>
        <v>0.38124999999999992</v>
      </c>
      <c r="G472" t="s">
        <v>1610</v>
      </c>
    </row>
    <row r="473" spans="1:7">
      <c r="A473" t="s">
        <v>2083</v>
      </c>
      <c r="B473" t="s">
        <v>1516</v>
      </c>
      <c r="C473" s="2">
        <v>46195</v>
      </c>
      <c r="D473" s="3">
        <v>0.38819444444444445</v>
      </c>
      <c r="E473" s="3">
        <v>0.77222222222222225</v>
      </c>
      <c r="F473" s="4">
        <f>IF(OR(D473="",E473=""),"",E473-D473)</f>
        <v>0.3840277777777778</v>
      </c>
      <c r="G473" t="s">
        <v>1610</v>
      </c>
    </row>
    <row r="474" spans="1:7">
      <c r="A474" t="s">
        <v>2084</v>
      </c>
      <c r="B474" t="s">
        <v>1519</v>
      </c>
      <c r="C474" s="2">
        <v>46196</v>
      </c>
      <c r="D474" s="3"/>
      <c r="E474" s="3"/>
      <c r="F474" s="4"/>
      <c r="G474" t="s">
        <v>1613</v>
      </c>
    </row>
    <row r="475" spans="1:7">
      <c r="A475" t="s">
        <v>2085</v>
      </c>
      <c r="B475" t="s">
        <v>1522</v>
      </c>
      <c r="C475" s="2">
        <v>46197</v>
      </c>
      <c r="D475" s="3">
        <v>0.43958333333333333</v>
      </c>
      <c r="E475" s="3">
        <v>0.78749999999999998</v>
      </c>
      <c r="F475" s="4">
        <f>IF(OR(D475="",E475=""),"",E475-D475)</f>
        <v>0.34791666666666665</v>
      </c>
      <c r="G475" t="s">
        <v>1615</v>
      </c>
    </row>
    <row r="476" spans="1:7">
      <c r="A476" t="s">
        <v>2086</v>
      </c>
      <c r="B476" t="s">
        <v>1525</v>
      </c>
      <c r="C476" s="2">
        <v>46198</v>
      </c>
      <c r="D476" s="3">
        <v>0.40277777777777779</v>
      </c>
      <c r="E476" s="3">
        <v>0.75347222222222221</v>
      </c>
      <c r="F476" s="4">
        <f>IF(OR(D476="",E476=""),"",E476-D476)</f>
        <v>0.35069444444444442</v>
      </c>
      <c r="G476" t="s">
        <v>1610</v>
      </c>
    </row>
    <row r="477" spans="1:7">
      <c r="A477" t="s">
        <v>2087</v>
      </c>
      <c r="B477" t="s">
        <v>1528</v>
      </c>
      <c r="C477" s="2">
        <v>46199</v>
      </c>
      <c r="D477" s="3">
        <v>0.37638888888888888</v>
      </c>
      <c r="E477" s="3">
        <v>0.76111111111111107</v>
      </c>
      <c r="F477" s="4">
        <f>IF(OR(D477="",E477=""),"",E477-D477)</f>
        <v>0.38472222222222219</v>
      </c>
      <c r="G477" t="s">
        <v>1610</v>
      </c>
    </row>
    <row r="478" spans="1:7">
      <c r="A478" t="s">
        <v>2088</v>
      </c>
      <c r="B478" t="s">
        <v>1531</v>
      </c>
      <c r="C478" s="2">
        <v>46200</v>
      </c>
      <c r="D478" s="3">
        <v>0.38124999999999998</v>
      </c>
      <c r="E478" s="3">
        <v>0.76875000000000004</v>
      </c>
      <c r="F478" s="4">
        <f>IF(OR(D478="",E478=""),"",E478-D478)</f>
        <v>0.38750000000000007</v>
      </c>
      <c r="G478" t="s">
        <v>1610</v>
      </c>
    </row>
    <row r="479" spans="1:7">
      <c r="A479" t="s">
        <v>2089</v>
      </c>
      <c r="B479" t="s">
        <v>1534</v>
      </c>
      <c r="C479" s="2">
        <v>46201</v>
      </c>
      <c r="D479" s="3"/>
      <c r="E479" s="3"/>
      <c r="F479" s="4"/>
      <c r="G479" t="s">
        <v>1613</v>
      </c>
    </row>
    <row r="480" spans="1:7">
      <c r="A480" t="s">
        <v>2090</v>
      </c>
      <c r="B480" t="s">
        <v>1537</v>
      </c>
      <c r="C480" s="2">
        <v>46202</v>
      </c>
      <c r="D480" s="3">
        <v>0.43263888888888891</v>
      </c>
      <c r="E480" s="3">
        <v>0.78402777777777777</v>
      </c>
      <c r="F480" s="4">
        <f>IF(OR(D480="",E480=""),"",E480-D480)</f>
        <v>0.35138888888888886</v>
      </c>
      <c r="G480" t="s">
        <v>1615</v>
      </c>
    </row>
    <row r="481" spans="1:7">
      <c r="A481" t="s">
        <v>2091</v>
      </c>
      <c r="B481" t="s">
        <v>1540</v>
      </c>
      <c r="C481" s="2">
        <v>46203</v>
      </c>
      <c r="D481" s="3">
        <v>0.39583333333333331</v>
      </c>
      <c r="E481" s="3">
        <v>0.75</v>
      </c>
      <c r="F481" s="4">
        <f>IF(OR(D481="",E481=""),"",E481-D481)</f>
        <v>0.35416666666666669</v>
      </c>
      <c r="G481" t="s">
        <v>1610</v>
      </c>
    </row>
    <row r="482" spans="1:7">
      <c r="A482" t="s">
        <v>2092</v>
      </c>
      <c r="B482" t="s">
        <v>1543</v>
      </c>
      <c r="C482" s="2">
        <v>46174</v>
      </c>
      <c r="D482" s="3">
        <v>0.40069444444444446</v>
      </c>
      <c r="E482" s="3">
        <v>0.75763888888888886</v>
      </c>
      <c r="F482" s="4">
        <f>IF(OR(D482="",E482=""),"",E482-D482)</f>
        <v>0.3569444444444444</v>
      </c>
      <c r="G482" t="s">
        <v>1610</v>
      </c>
    </row>
    <row r="483" spans="1:7">
      <c r="A483" t="s">
        <v>2093</v>
      </c>
      <c r="B483" t="s">
        <v>1546</v>
      </c>
      <c r="C483" s="2">
        <v>46175</v>
      </c>
      <c r="D483" s="3">
        <v>0.40555555555555556</v>
      </c>
      <c r="E483" s="3">
        <v>0.76527777777777772</v>
      </c>
      <c r="F483" s="4">
        <f>IF(OR(D483="",E483=""),"",E483-D483)</f>
        <v>0.35972222222222217</v>
      </c>
      <c r="G483" t="s">
        <v>1610</v>
      </c>
    </row>
    <row r="484" spans="1:7">
      <c r="A484" t="s">
        <v>2094</v>
      </c>
      <c r="B484" t="s">
        <v>1549</v>
      </c>
      <c r="C484" s="2">
        <v>46176</v>
      </c>
      <c r="D484" s="3"/>
      <c r="E484" s="3"/>
      <c r="F484" s="4"/>
      <c r="G484" t="s">
        <v>1613</v>
      </c>
    </row>
    <row r="485" spans="1:7">
      <c r="A485" t="s">
        <v>2095</v>
      </c>
      <c r="B485" t="s">
        <v>1552</v>
      </c>
      <c r="C485" s="2">
        <v>46177</v>
      </c>
      <c r="D485" s="3">
        <v>0.42569444444444443</v>
      </c>
      <c r="E485" s="3">
        <v>0.78055555555555556</v>
      </c>
      <c r="F485" s="4">
        <f>IF(OR(D485="",E485=""),"",E485-D485)</f>
        <v>0.35486111111111113</v>
      </c>
      <c r="G485" t="s">
        <v>1615</v>
      </c>
    </row>
    <row r="486" spans="1:7">
      <c r="A486" t="s">
        <v>2096</v>
      </c>
      <c r="B486" t="s">
        <v>1555</v>
      </c>
      <c r="C486" s="2">
        <v>46178</v>
      </c>
      <c r="D486" s="3">
        <v>0.3888888888888889</v>
      </c>
      <c r="E486" s="3">
        <v>0.78819444444444442</v>
      </c>
      <c r="F486" s="4">
        <f>IF(OR(D486="",E486=""),"",E486-D486)</f>
        <v>0.39930555555555552</v>
      </c>
      <c r="G486" t="s">
        <v>1610</v>
      </c>
    </row>
    <row r="487" spans="1:7">
      <c r="A487" t="s">
        <v>2097</v>
      </c>
      <c r="B487" t="s">
        <v>1558</v>
      </c>
      <c r="C487" s="2">
        <v>46179</v>
      </c>
      <c r="D487" s="3">
        <v>0.39374999999999999</v>
      </c>
      <c r="E487" s="3">
        <v>0.75416666666666665</v>
      </c>
      <c r="F487" s="4">
        <f>IF(OR(D487="",E487=""),"",E487-D487)</f>
        <v>0.36041666666666666</v>
      </c>
      <c r="G487" t="s">
        <v>1610</v>
      </c>
    </row>
    <row r="488" spans="1:7">
      <c r="A488" t="s">
        <v>2098</v>
      </c>
      <c r="B488" t="s">
        <v>1561</v>
      </c>
      <c r="C488" s="2">
        <v>46180</v>
      </c>
      <c r="D488" s="3">
        <v>0.39861111111111114</v>
      </c>
      <c r="E488" s="3">
        <v>0.76180555555555551</v>
      </c>
      <c r="F488" s="4">
        <f>IF(OR(D488="",E488=""),"",E488-D488)</f>
        <v>0.36319444444444438</v>
      </c>
      <c r="G488" t="s">
        <v>1610</v>
      </c>
    </row>
    <row r="489" spans="1:7">
      <c r="A489" t="s">
        <v>2099</v>
      </c>
      <c r="B489" t="s">
        <v>1564</v>
      </c>
      <c r="C489" s="2">
        <v>46181</v>
      </c>
      <c r="D489" s="3"/>
      <c r="E489" s="3"/>
      <c r="F489" s="4"/>
      <c r="G489" t="s">
        <v>1613</v>
      </c>
    </row>
    <row r="490" spans="1:7">
      <c r="A490" t="s">
        <v>2100</v>
      </c>
      <c r="B490" t="s">
        <v>1567</v>
      </c>
      <c r="C490" s="2">
        <v>46182</v>
      </c>
      <c r="D490" s="3">
        <v>0.41875000000000001</v>
      </c>
      <c r="E490" s="3">
        <v>0.77708333333333335</v>
      </c>
      <c r="F490" s="4">
        <f>IF(OR(D490="",E490=""),"",E490-D490)</f>
        <v>0.35833333333333334</v>
      </c>
      <c r="G490" t="s">
        <v>1615</v>
      </c>
    </row>
    <row r="491" spans="1:7">
      <c r="A491" t="s">
        <v>2101</v>
      </c>
      <c r="B491" t="s">
        <v>1570</v>
      </c>
      <c r="C491" s="2">
        <v>46183</v>
      </c>
      <c r="D491" s="3">
        <v>0.38194444444444442</v>
      </c>
      <c r="E491" s="3">
        <v>0.78472222222222221</v>
      </c>
      <c r="F491" s="4">
        <f>IF(OR(D491="",E491=""),"",E491-D491)</f>
        <v>0.40277777777777779</v>
      </c>
      <c r="G491" t="s">
        <v>1610</v>
      </c>
    </row>
    <row r="492" spans="1:7">
      <c r="A492" t="s">
        <v>2102</v>
      </c>
      <c r="B492" t="s">
        <v>1573</v>
      </c>
      <c r="C492" s="2">
        <v>46184</v>
      </c>
      <c r="D492" s="3">
        <v>0.38680555555555557</v>
      </c>
      <c r="E492" s="3">
        <v>0.75069444444444444</v>
      </c>
      <c r="F492" s="4">
        <f>IF(OR(D492="",E492=""),"",E492-D492)</f>
        <v>0.36388888888888887</v>
      </c>
      <c r="G492" t="s">
        <v>1610</v>
      </c>
    </row>
    <row r="493" spans="1:7">
      <c r="A493" t="s">
        <v>2103</v>
      </c>
      <c r="B493" t="s">
        <v>1576</v>
      </c>
      <c r="C493" s="2">
        <v>46185</v>
      </c>
      <c r="D493" s="3">
        <v>0.39166666666666666</v>
      </c>
      <c r="E493" s="3">
        <v>0.7583333333333333</v>
      </c>
      <c r="F493" s="4">
        <f>IF(OR(D493="",E493=""),"",E493-D493)</f>
        <v>0.36666666666666664</v>
      </c>
      <c r="G493" t="s">
        <v>1610</v>
      </c>
    </row>
    <row r="494" spans="1:7">
      <c r="A494" t="s">
        <v>2104</v>
      </c>
      <c r="B494" t="s">
        <v>1579</v>
      </c>
      <c r="C494" s="2">
        <v>46186</v>
      </c>
      <c r="D494" s="3"/>
      <c r="E494" s="3"/>
      <c r="F494" s="4"/>
      <c r="G494" t="s">
        <v>1613</v>
      </c>
    </row>
    <row r="495" spans="1:7">
      <c r="A495" t="s">
        <v>2105</v>
      </c>
      <c r="B495" t="s">
        <v>1582</v>
      </c>
      <c r="C495" s="2">
        <v>46187</v>
      </c>
      <c r="D495" s="3">
        <v>0.44305555555555554</v>
      </c>
      <c r="E495" s="3">
        <v>0.77361111111111114</v>
      </c>
      <c r="F495" s="4">
        <f>IF(OR(D495="",E495=""),"",E495-D495)</f>
        <v>0.3305555555555556</v>
      </c>
      <c r="G495" t="s">
        <v>1615</v>
      </c>
    </row>
    <row r="496" spans="1:7">
      <c r="A496" t="s">
        <v>2106</v>
      </c>
      <c r="B496" t="s">
        <v>1585</v>
      </c>
      <c r="C496" s="2">
        <v>46188</v>
      </c>
      <c r="D496" s="3">
        <v>0.375</v>
      </c>
      <c r="E496" s="3">
        <v>0.78125</v>
      </c>
      <c r="F496" s="4">
        <f>IF(OR(D496="",E496=""),"",E496-D496)</f>
        <v>0.40625</v>
      </c>
      <c r="G496" t="s">
        <v>1610</v>
      </c>
    </row>
    <row r="497" spans="1:7">
      <c r="A497" t="s">
        <v>2107</v>
      </c>
      <c r="B497" t="s">
        <v>1588</v>
      </c>
      <c r="C497" s="2">
        <v>46189</v>
      </c>
      <c r="D497" s="3">
        <v>0.37986111111111109</v>
      </c>
      <c r="E497" s="3">
        <v>0.78888888888888886</v>
      </c>
      <c r="F497" s="4">
        <f>IF(OR(D497="",E497=""),"",E497-D497)</f>
        <v>0.40902777777777777</v>
      </c>
      <c r="G497" t="s">
        <v>1610</v>
      </c>
    </row>
    <row r="498" spans="1:7">
      <c r="A498" t="s">
        <v>2108</v>
      </c>
      <c r="B498" t="s">
        <v>1591</v>
      </c>
      <c r="C498" s="2">
        <v>46190</v>
      </c>
      <c r="D498" s="3">
        <v>0.38472222222222224</v>
      </c>
      <c r="E498" s="3">
        <v>0.75486111111111109</v>
      </c>
      <c r="F498" s="4">
        <f>IF(OR(D498="",E498=""),"",E498-D498)</f>
        <v>0.37013888888888885</v>
      </c>
      <c r="G498" t="s">
        <v>1610</v>
      </c>
    </row>
    <row r="499" spans="1:7">
      <c r="A499" t="s">
        <v>2109</v>
      </c>
      <c r="B499" t="s">
        <v>1594</v>
      </c>
      <c r="C499" s="2">
        <v>46191</v>
      </c>
      <c r="D499" s="3"/>
      <c r="E499" s="3"/>
      <c r="F499" s="4"/>
      <c r="G499" t="s">
        <v>1613</v>
      </c>
    </row>
    <row r="500" spans="1:7">
      <c r="A500" t="s">
        <v>2110</v>
      </c>
      <c r="B500" t="s">
        <v>1597</v>
      </c>
      <c r="C500" s="2">
        <v>46192</v>
      </c>
      <c r="D500" s="3">
        <v>0.43611111111111112</v>
      </c>
      <c r="E500" s="3">
        <v>0.77013888888888893</v>
      </c>
      <c r="F500" s="4">
        <f>IF(OR(D500="",E500=""),"",E500-D500)</f>
        <v>0.33402777777777781</v>
      </c>
      <c r="G500" t="s">
        <v>1615</v>
      </c>
    </row>
    <row r="501" spans="1:7">
      <c r="A501" t="s">
        <v>2111</v>
      </c>
      <c r="B501" t="s">
        <v>1600</v>
      </c>
      <c r="C501" s="2">
        <v>46193</v>
      </c>
      <c r="D501" s="3">
        <v>0.39930555555555558</v>
      </c>
      <c r="E501" s="3">
        <v>0.77777777777777779</v>
      </c>
      <c r="F501" s="4">
        <f>IF(OR(D501="",E501=""),"",E501-D501)</f>
        <v>0.37847222222222221</v>
      </c>
      <c r="G501" t="s">
        <v>1610</v>
      </c>
    </row>
  </sheetData>
  <conditionalFormatting sqref="G2:G501">
    <cfRule type="expression" dxfId="4" priority="1">
      <formula>G2="Absent"</formula>
    </cfRule>
  </conditionalFormatting>
  <dataValidations count="1">
    <dataValidation type="list" sqref="G2:G501" xr:uid="{00000000-0002-0000-0100-000000000000}">
      <formula1>"Present,Absent,Late"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workbookViewId="0">
      <selection activeCell="C5" sqref="C5"/>
    </sheetView>
  </sheetViews>
  <sheetFormatPr defaultRowHeight="13.8"/>
  <cols>
    <col min="1" max="2" width="14" customWidth="1"/>
    <col min="3" max="3" width="18" customWidth="1"/>
    <col min="4" max="5" width="15" customWidth="1"/>
    <col min="6" max="6" width="10" customWidth="1"/>
    <col min="7" max="7" width="14" customWidth="1"/>
    <col min="8" max="8" width="24" customWidth="1"/>
  </cols>
  <sheetData>
    <row r="1" spans="1:8">
      <c r="A1" s="1" t="s">
        <v>2112</v>
      </c>
      <c r="B1" s="1" t="s">
        <v>0</v>
      </c>
      <c r="C1" s="1" t="s">
        <v>2113</v>
      </c>
      <c r="D1" s="1" t="s">
        <v>2114</v>
      </c>
      <c r="E1" s="1" t="s">
        <v>2115</v>
      </c>
      <c r="F1" s="1" t="s">
        <v>2116</v>
      </c>
      <c r="G1" s="1" t="s">
        <v>1608</v>
      </c>
      <c r="H1" s="1" t="s">
        <v>2117</v>
      </c>
    </row>
    <row r="2" spans="1:8">
      <c r="A2" t="s">
        <v>2118</v>
      </c>
      <c r="B2" t="s">
        <v>11</v>
      </c>
      <c r="C2" t="s">
        <v>2119</v>
      </c>
      <c r="D2" s="2">
        <v>46177</v>
      </c>
      <c r="E2" s="2">
        <v>46178</v>
      </c>
      <c r="F2">
        <f t="shared" ref="F2:F65" si="0">E2-D2+1</f>
        <v>2</v>
      </c>
      <c r="G2" t="s">
        <v>2120</v>
      </c>
      <c r="H2" t="s">
        <v>2121</v>
      </c>
    </row>
    <row r="3" spans="1:8">
      <c r="A3" t="s">
        <v>2122</v>
      </c>
      <c r="B3" t="s">
        <v>21</v>
      </c>
      <c r="C3" t="s">
        <v>2123</v>
      </c>
      <c r="D3" s="2">
        <v>46180</v>
      </c>
      <c r="E3" s="2">
        <v>46182</v>
      </c>
      <c r="F3">
        <f t="shared" si="0"/>
        <v>3</v>
      </c>
      <c r="G3" t="s">
        <v>2124</v>
      </c>
      <c r="H3" t="s">
        <v>2125</v>
      </c>
    </row>
    <row r="4" spans="1:8">
      <c r="A4" t="s">
        <v>2126</v>
      </c>
      <c r="B4" t="s">
        <v>30</v>
      </c>
      <c r="C4" t="s">
        <v>2127</v>
      </c>
      <c r="D4" s="2">
        <v>46183</v>
      </c>
      <c r="E4" s="2">
        <v>46186</v>
      </c>
      <c r="F4">
        <f t="shared" si="0"/>
        <v>4</v>
      </c>
      <c r="G4" t="s">
        <v>2128</v>
      </c>
      <c r="H4" t="s">
        <v>2129</v>
      </c>
    </row>
    <row r="5" spans="1:8">
      <c r="A5" t="s">
        <v>2130</v>
      </c>
      <c r="B5" t="s">
        <v>38</v>
      </c>
      <c r="C5" t="s">
        <v>2131</v>
      </c>
      <c r="D5" s="2">
        <v>46186</v>
      </c>
      <c r="E5" s="2">
        <v>46190</v>
      </c>
      <c r="F5">
        <f t="shared" si="0"/>
        <v>5</v>
      </c>
      <c r="G5" t="s">
        <v>2120</v>
      </c>
      <c r="H5" t="s">
        <v>2132</v>
      </c>
    </row>
    <row r="6" spans="1:8">
      <c r="A6" t="s">
        <v>2133</v>
      </c>
      <c r="B6" t="s">
        <v>47</v>
      </c>
      <c r="C6" t="s">
        <v>2119</v>
      </c>
      <c r="D6" s="2">
        <v>46189</v>
      </c>
      <c r="E6" s="2">
        <v>46189</v>
      </c>
      <c r="F6">
        <f t="shared" si="0"/>
        <v>1</v>
      </c>
      <c r="G6" t="s">
        <v>2128</v>
      </c>
      <c r="H6" t="s">
        <v>2134</v>
      </c>
    </row>
    <row r="7" spans="1:8">
      <c r="A7" t="s">
        <v>2135</v>
      </c>
      <c r="B7" t="s">
        <v>56</v>
      </c>
      <c r="C7" t="s">
        <v>2123</v>
      </c>
      <c r="D7" s="2">
        <v>46192</v>
      </c>
      <c r="E7" s="2">
        <v>46193</v>
      </c>
      <c r="F7">
        <f t="shared" si="0"/>
        <v>2</v>
      </c>
      <c r="G7" t="s">
        <v>2120</v>
      </c>
      <c r="H7" t="s">
        <v>2121</v>
      </c>
    </row>
    <row r="8" spans="1:8">
      <c r="A8" t="s">
        <v>2136</v>
      </c>
      <c r="B8" t="s">
        <v>64</v>
      </c>
      <c r="C8" t="s">
        <v>2127</v>
      </c>
      <c r="D8" s="2">
        <v>46195</v>
      </c>
      <c r="E8" s="2">
        <v>46197</v>
      </c>
      <c r="F8">
        <f t="shared" si="0"/>
        <v>3</v>
      </c>
      <c r="G8" t="s">
        <v>2124</v>
      </c>
      <c r="H8" t="s">
        <v>2125</v>
      </c>
    </row>
    <row r="9" spans="1:8">
      <c r="A9" t="s">
        <v>2137</v>
      </c>
      <c r="B9" t="s">
        <v>72</v>
      </c>
      <c r="C9" t="s">
        <v>2131</v>
      </c>
      <c r="D9" s="2">
        <v>46198</v>
      </c>
      <c r="E9" s="2">
        <v>46201</v>
      </c>
      <c r="F9">
        <f t="shared" si="0"/>
        <v>4</v>
      </c>
      <c r="G9" t="s">
        <v>2128</v>
      </c>
      <c r="H9" t="s">
        <v>2129</v>
      </c>
    </row>
    <row r="10" spans="1:8">
      <c r="A10" t="s">
        <v>2138</v>
      </c>
      <c r="B10" t="s">
        <v>80</v>
      </c>
      <c r="C10" t="s">
        <v>2119</v>
      </c>
      <c r="D10" s="2">
        <v>46201</v>
      </c>
      <c r="E10" s="2">
        <v>46205</v>
      </c>
      <c r="F10">
        <f t="shared" si="0"/>
        <v>5</v>
      </c>
      <c r="G10" t="s">
        <v>2120</v>
      </c>
      <c r="H10" t="s">
        <v>2132</v>
      </c>
    </row>
    <row r="11" spans="1:8">
      <c r="A11" t="s">
        <v>2139</v>
      </c>
      <c r="B11" t="s">
        <v>87</v>
      </c>
      <c r="C11" t="s">
        <v>2123</v>
      </c>
      <c r="D11" s="2">
        <v>46204</v>
      </c>
      <c r="E11" s="2">
        <v>46204</v>
      </c>
      <c r="F11">
        <f t="shared" si="0"/>
        <v>1</v>
      </c>
      <c r="G11" t="s">
        <v>2128</v>
      </c>
      <c r="H11" t="s">
        <v>2134</v>
      </c>
    </row>
    <row r="12" spans="1:8">
      <c r="A12" t="s">
        <v>2140</v>
      </c>
      <c r="B12" t="s">
        <v>94</v>
      </c>
      <c r="C12" t="s">
        <v>2127</v>
      </c>
      <c r="D12" s="2">
        <v>46207</v>
      </c>
      <c r="E12" s="2">
        <v>46208</v>
      </c>
      <c r="F12">
        <f t="shared" si="0"/>
        <v>2</v>
      </c>
      <c r="G12" t="s">
        <v>2120</v>
      </c>
      <c r="H12" t="s">
        <v>2121</v>
      </c>
    </row>
    <row r="13" spans="1:8">
      <c r="A13" t="s">
        <v>2141</v>
      </c>
      <c r="B13" t="s">
        <v>100</v>
      </c>
      <c r="C13" t="s">
        <v>2131</v>
      </c>
      <c r="D13" s="2">
        <v>46210</v>
      </c>
      <c r="E13" s="2">
        <v>46212</v>
      </c>
      <c r="F13">
        <f t="shared" si="0"/>
        <v>3</v>
      </c>
      <c r="G13" t="s">
        <v>2124</v>
      </c>
      <c r="H13" t="s">
        <v>2125</v>
      </c>
    </row>
    <row r="14" spans="1:8">
      <c r="A14" t="s">
        <v>2142</v>
      </c>
      <c r="B14" t="s">
        <v>106</v>
      </c>
      <c r="C14" t="s">
        <v>2119</v>
      </c>
      <c r="D14" s="2">
        <v>46213</v>
      </c>
      <c r="E14" s="2">
        <v>46216</v>
      </c>
      <c r="F14">
        <f t="shared" si="0"/>
        <v>4</v>
      </c>
      <c r="G14" t="s">
        <v>2128</v>
      </c>
      <c r="H14" t="s">
        <v>2129</v>
      </c>
    </row>
    <row r="15" spans="1:8">
      <c r="A15" t="s">
        <v>2143</v>
      </c>
      <c r="B15" t="s">
        <v>112</v>
      </c>
      <c r="C15" t="s">
        <v>2123</v>
      </c>
      <c r="D15" s="2">
        <v>46216</v>
      </c>
      <c r="E15" s="2">
        <v>46220</v>
      </c>
      <c r="F15">
        <f t="shared" si="0"/>
        <v>5</v>
      </c>
      <c r="G15" t="s">
        <v>2120</v>
      </c>
      <c r="H15" t="s">
        <v>2132</v>
      </c>
    </row>
    <row r="16" spans="1:8">
      <c r="A16" t="s">
        <v>2144</v>
      </c>
      <c r="B16" t="s">
        <v>118</v>
      </c>
      <c r="C16" t="s">
        <v>2127</v>
      </c>
      <c r="D16" s="2">
        <v>46219</v>
      </c>
      <c r="E16" s="2">
        <v>46219</v>
      </c>
      <c r="F16">
        <f t="shared" si="0"/>
        <v>1</v>
      </c>
      <c r="G16" t="s">
        <v>2128</v>
      </c>
      <c r="H16" t="s">
        <v>2134</v>
      </c>
    </row>
    <row r="17" spans="1:8">
      <c r="A17" t="s">
        <v>2145</v>
      </c>
      <c r="B17" t="s">
        <v>124</v>
      </c>
      <c r="C17" t="s">
        <v>2131</v>
      </c>
      <c r="D17" s="2">
        <v>46222</v>
      </c>
      <c r="E17" s="2">
        <v>46223</v>
      </c>
      <c r="F17">
        <f t="shared" si="0"/>
        <v>2</v>
      </c>
      <c r="G17" t="s">
        <v>2120</v>
      </c>
      <c r="H17" t="s">
        <v>2121</v>
      </c>
    </row>
    <row r="18" spans="1:8">
      <c r="A18" t="s">
        <v>2146</v>
      </c>
      <c r="B18" t="s">
        <v>130</v>
      </c>
      <c r="C18" t="s">
        <v>2119</v>
      </c>
      <c r="D18" s="2">
        <v>46225</v>
      </c>
      <c r="E18" s="2">
        <v>46227</v>
      </c>
      <c r="F18">
        <f t="shared" si="0"/>
        <v>3</v>
      </c>
      <c r="G18" t="s">
        <v>2124</v>
      </c>
      <c r="H18" t="s">
        <v>2125</v>
      </c>
    </row>
    <row r="19" spans="1:8">
      <c r="A19" t="s">
        <v>2147</v>
      </c>
      <c r="B19" t="s">
        <v>136</v>
      </c>
      <c r="C19" t="s">
        <v>2123</v>
      </c>
      <c r="D19" s="2">
        <v>46228</v>
      </c>
      <c r="E19" s="2">
        <v>46231</v>
      </c>
      <c r="F19">
        <f t="shared" si="0"/>
        <v>4</v>
      </c>
      <c r="G19" t="s">
        <v>2128</v>
      </c>
      <c r="H19" t="s">
        <v>2129</v>
      </c>
    </row>
    <row r="20" spans="1:8">
      <c r="A20" t="s">
        <v>2148</v>
      </c>
      <c r="B20" t="s">
        <v>142</v>
      </c>
      <c r="C20" t="s">
        <v>2127</v>
      </c>
      <c r="D20" s="2">
        <v>46231</v>
      </c>
      <c r="E20" s="2">
        <v>46235</v>
      </c>
      <c r="F20">
        <f t="shared" si="0"/>
        <v>5</v>
      </c>
      <c r="G20" t="s">
        <v>2120</v>
      </c>
      <c r="H20" t="s">
        <v>2132</v>
      </c>
    </row>
    <row r="21" spans="1:8">
      <c r="A21" t="s">
        <v>2149</v>
      </c>
      <c r="B21" t="s">
        <v>148</v>
      </c>
      <c r="C21" t="s">
        <v>2131</v>
      </c>
      <c r="D21" s="2">
        <v>46174</v>
      </c>
      <c r="E21" s="2">
        <v>46174</v>
      </c>
      <c r="F21">
        <f t="shared" si="0"/>
        <v>1</v>
      </c>
      <c r="G21" t="s">
        <v>2128</v>
      </c>
      <c r="H21" t="s">
        <v>2134</v>
      </c>
    </row>
    <row r="22" spans="1:8">
      <c r="A22" t="s">
        <v>2150</v>
      </c>
      <c r="B22" t="s">
        <v>154</v>
      </c>
      <c r="C22" t="s">
        <v>2119</v>
      </c>
      <c r="D22" s="2">
        <v>46177</v>
      </c>
      <c r="E22" s="2">
        <v>46178</v>
      </c>
      <c r="F22">
        <f t="shared" si="0"/>
        <v>2</v>
      </c>
      <c r="G22" t="s">
        <v>2120</v>
      </c>
      <c r="H22" t="s">
        <v>2121</v>
      </c>
    </row>
    <row r="23" spans="1:8">
      <c r="A23" t="s">
        <v>2151</v>
      </c>
      <c r="B23" t="s">
        <v>159</v>
      </c>
      <c r="C23" t="s">
        <v>2123</v>
      </c>
      <c r="D23" s="2">
        <v>46180</v>
      </c>
      <c r="E23" s="2">
        <v>46182</v>
      </c>
      <c r="F23">
        <f t="shared" si="0"/>
        <v>3</v>
      </c>
      <c r="G23" t="s">
        <v>2124</v>
      </c>
      <c r="H23" t="s">
        <v>2125</v>
      </c>
    </row>
    <row r="24" spans="1:8">
      <c r="A24" t="s">
        <v>2152</v>
      </c>
      <c r="B24" t="s">
        <v>164</v>
      </c>
      <c r="C24" t="s">
        <v>2127</v>
      </c>
      <c r="D24" s="2">
        <v>46183</v>
      </c>
      <c r="E24" s="2">
        <v>46186</v>
      </c>
      <c r="F24">
        <f t="shared" si="0"/>
        <v>4</v>
      </c>
      <c r="G24" t="s">
        <v>2128</v>
      </c>
      <c r="H24" t="s">
        <v>2129</v>
      </c>
    </row>
    <row r="25" spans="1:8">
      <c r="A25" t="s">
        <v>2153</v>
      </c>
      <c r="B25" t="s">
        <v>169</v>
      </c>
      <c r="C25" t="s">
        <v>2131</v>
      </c>
      <c r="D25" s="2">
        <v>46186</v>
      </c>
      <c r="E25" s="2">
        <v>46190</v>
      </c>
      <c r="F25">
        <f t="shared" si="0"/>
        <v>5</v>
      </c>
      <c r="G25" t="s">
        <v>2120</v>
      </c>
      <c r="H25" t="s">
        <v>2132</v>
      </c>
    </row>
    <row r="26" spans="1:8">
      <c r="A26" t="s">
        <v>2154</v>
      </c>
      <c r="B26" t="s">
        <v>174</v>
      </c>
      <c r="C26" t="s">
        <v>2119</v>
      </c>
      <c r="D26" s="2">
        <v>46189</v>
      </c>
      <c r="E26" s="2">
        <v>46189</v>
      </c>
      <c r="F26">
        <f t="shared" si="0"/>
        <v>1</v>
      </c>
      <c r="G26" t="s">
        <v>2128</v>
      </c>
      <c r="H26" t="s">
        <v>2134</v>
      </c>
    </row>
    <row r="27" spans="1:8">
      <c r="A27" t="s">
        <v>2155</v>
      </c>
      <c r="B27" t="s">
        <v>178</v>
      </c>
      <c r="C27" t="s">
        <v>2123</v>
      </c>
      <c r="D27" s="2">
        <v>46192</v>
      </c>
      <c r="E27" s="2">
        <v>46193</v>
      </c>
      <c r="F27">
        <f t="shared" si="0"/>
        <v>2</v>
      </c>
      <c r="G27" t="s">
        <v>2120</v>
      </c>
      <c r="H27" t="s">
        <v>2121</v>
      </c>
    </row>
    <row r="28" spans="1:8">
      <c r="A28" t="s">
        <v>2156</v>
      </c>
      <c r="B28" t="s">
        <v>181</v>
      </c>
      <c r="C28" t="s">
        <v>2127</v>
      </c>
      <c r="D28" s="2">
        <v>46195</v>
      </c>
      <c r="E28" s="2">
        <v>46197</v>
      </c>
      <c r="F28">
        <f t="shared" si="0"/>
        <v>3</v>
      </c>
      <c r="G28" t="s">
        <v>2124</v>
      </c>
      <c r="H28" t="s">
        <v>2125</v>
      </c>
    </row>
    <row r="29" spans="1:8">
      <c r="A29" t="s">
        <v>2157</v>
      </c>
      <c r="B29" t="s">
        <v>184</v>
      </c>
      <c r="C29" t="s">
        <v>2131</v>
      </c>
      <c r="D29" s="2">
        <v>46198</v>
      </c>
      <c r="E29" s="2">
        <v>46201</v>
      </c>
      <c r="F29">
        <f t="shared" si="0"/>
        <v>4</v>
      </c>
      <c r="G29" t="s">
        <v>2128</v>
      </c>
      <c r="H29" t="s">
        <v>2129</v>
      </c>
    </row>
    <row r="30" spans="1:8">
      <c r="A30" t="s">
        <v>2158</v>
      </c>
      <c r="B30" t="s">
        <v>187</v>
      </c>
      <c r="C30" t="s">
        <v>2119</v>
      </c>
      <c r="D30" s="2">
        <v>46201</v>
      </c>
      <c r="E30" s="2">
        <v>46205</v>
      </c>
      <c r="F30">
        <f t="shared" si="0"/>
        <v>5</v>
      </c>
      <c r="G30" t="s">
        <v>2120</v>
      </c>
      <c r="H30" t="s">
        <v>2132</v>
      </c>
    </row>
    <row r="31" spans="1:8">
      <c r="A31" t="s">
        <v>2159</v>
      </c>
      <c r="B31" t="s">
        <v>190</v>
      </c>
      <c r="C31" t="s">
        <v>2123</v>
      </c>
      <c r="D31" s="2">
        <v>46204</v>
      </c>
      <c r="E31" s="2">
        <v>46204</v>
      </c>
      <c r="F31">
        <f t="shared" si="0"/>
        <v>1</v>
      </c>
      <c r="G31" t="s">
        <v>2128</v>
      </c>
      <c r="H31" t="s">
        <v>2134</v>
      </c>
    </row>
    <row r="32" spans="1:8">
      <c r="A32" t="s">
        <v>2160</v>
      </c>
      <c r="B32" t="s">
        <v>193</v>
      </c>
      <c r="C32" t="s">
        <v>2127</v>
      </c>
      <c r="D32" s="2">
        <v>46207</v>
      </c>
      <c r="E32" s="2">
        <v>46208</v>
      </c>
      <c r="F32">
        <f t="shared" si="0"/>
        <v>2</v>
      </c>
      <c r="G32" t="s">
        <v>2120</v>
      </c>
      <c r="H32" t="s">
        <v>2121</v>
      </c>
    </row>
    <row r="33" spans="1:8">
      <c r="A33" t="s">
        <v>2161</v>
      </c>
      <c r="B33" t="s">
        <v>196</v>
      </c>
      <c r="C33" t="s">
        <v>2131</v>
      </c>
      <c r="D33" s="2">
        <v>46210</v>
      </c>
      <c r="E33" s="2">
        <v>46212</v>
      </c>
      <c r="F33">
        <f t="shared" si="0"/>
        <v>3</v>
      </c>
      <c r="G33" t="s">
        <v>2124</v>
      </c>
      <c r="H33" t="s">
        <v>2125</v>
      </c>
    </row>
    <row r="34" spans="1:8">
      <c r="A34" t="s">
        <v>2162</v>
      </c>
      <c r="B34" t="s">
        <v>199</v>
      </c>
      <c r="C34" t="s">
        <v>2119</v>
      </c>
      <c r="D34" s="2">
        <v>46213</v>
      </c>
      <c r="E34" s="2">
        <v>46216</v>
      </c>
      <c r="F34">
        <f t="shared" si="0"/>
        <v>4</v>
      </c>
      <c r="G34" t="s">
        <v>2128</v>
      </c>
      <c r="H34" t="s">
        <v>2129</v>
      </c>
    </row>
    <row r="35" spans="1:8">
      <c r="A35" t="s">
        <v>2163</v>
      </c>
      <c r="B35" t="s">
        <v>202</v>
      </c>
      <c r="C35" t="s">
        <v>2123</v>
      </c>
      <c r="D35" s="2">
        <v>46216</v>
      </c>
      <c r="E35" s="2">
        <v>46220</v>
      </c>
      <c r="F35">
        <f t="shared" si="0"/>
        <v>5</v>
      </c>
      <c r="G35" t="s">
        <v>2120</v>
      </c>
      <c r="H35" t="s">
        <v>2132</v>
      </c>
    </row>
    <row r="36" spans="1:8">
      <c r="A36" t="s">
        <v>2164</v>
      </c>
      <c r="B36" t="s">
        <v>205</v>
      </c>
      <c r="C36" t="s">
        <v>2127</v>
      </c>
      <c r="D36" s="2">
        <v>46219</v>
      </c>
      <c r="E36" s="2">
        <v>46219</v>
      </c>
      <c r="F36">
        <f t="shared" si="0"/>
        <v>1</v>
      </c>
      <c r="G36" t="s">
        <v>2128</v>
      </c>
      <c r="H36" t="s">
        <v>2134</v>
      </c>
    </row>
    <row r="37" spans="1:8">
      <c r="A37" t="s">
        <v>2165</v>
      </c>
      <c r="B37" t="s">
        <v>208</v>
      </c>
      <c r="C37" t="s">
        <v>2131</v>
      </c>
      <c r="D37" s="2">
        <v>46222</v>
      </c>
      <c r="E37" s="2">
        <v>46223</v>
      </c>
      <c r="F37">
        <f t="shared" si="0"/>
        <v>2</v>
      </c>
      <c r="G37" t="s">
        <v>2120</v>
      </c>
      <c r="H37" t="s">
        <v>2121</v>
      </c>
    </row>
    <row r="38" spans="1:8">
      <c r="A38" t="s">
        <v>2166</v>
      </c>
      <c r="B38" t="s">
        <v>211</v>
      </c>
      <c r="C38" t="s">
        <v>2119</v>
      </c>
      <c r="D38" s="2">
        <v>46225</v>
      </c>
      <c r="E38" s="2">
        <v>46227</v>
      </c>
      <c r="F38">
        <f t="shared" si="0"/>
        <v>3</v>
      </c>
      <c r="G38" t="s">
        <v>2124</v>
      </c>
      <c r="H38" t="s">
        <v>2125</v>
      </c>
    </row>
    <row r="39" spans="1:8">
      <c r="A39" t="s">
        <v>2167</v>
      </c>
      <c r="B39" t="s">
        <v>214</v>
      </c>
      <c r="C39" t="s">
        <v>2123</v>
      </c>
      <c r="D39" s="2">
        <v>46228</v>
      </c>
      <c r="E39" s="2">
        <v>46231</v>
      </c>
      <c r="F39">
        <f t="shared" si="0"/>
        <v>4</v>
      </c>
      <c r="G39" t="s">
        <v>2128</v>
      </c>
      <c r="H39" t="s">
        <v>2129</v>
      </c>
    </row>
    <row r="40" spans="1:8">
      <c r="A40" t="s">
        <v>2168</v>
      </c>
      <c r="B40" t="s">
        <v>217</v>
      </c>
      <c r="C40" t="s">
        <v>2127</v>
      </c>
      <c r="D40" s="2">
        <v>46231</v>
      </c>
      <c r="E40" s="2">
        <v>46235</v>
      </c>
      <c r="F40">
        <f t="shared" si="0"/>
        <v>5</v>
      </c>
      <c r="G40" t="s">
        <v>2120</v>
      </c>
      <c r="H40" t="s">
        <v>2132</v>
      </c>
    </row>
    <row r="41" spans="1:8">
      <c r="A41" t="s">
        <v>2169</v>
      </c>
      <c r="B41" t="s">
        <v>220</v>
      </c>
      <c r="C41" t="s">
        <v>2131</v>
      </c>
      <c r="D41" s="2">
        <v>46174</v>
      </c>
      <c r="E41" s="2">
        <v>46174</v>
      </c>
      <c r="F41">
        <f t="shared" si="0"/>
        <v>1</v>
      </c>
      <c r="G41" t="s">
        <v>2128</v>
      </c>
      <c r="H41" t="s">
        <v>2134</v>
      </c>
    </row>
    <row r="42" spans="1:8">
      <c r="A42" t="s">
        <v>2170</v>
      </c>
      <c r="B42" t="s">
        <v>223</v>
      </c>
      <c r="C42" t="s">
        <v>2119</v>
      </c>
      <c r="D42" s="2">
        <v>46177</v>
      </c>
      <c r="E42" s="2">
        <v>46178</v>
      </c>
      <c r="F42">
        <f t="shared" si="0"/>
        <v>2</v>
      </c>
      <c r="G42" t="s">
        <v>2120</v>
      </c>
      <c r="H42" t="s">
        <v>2121</v>
      </c>
    </row>
    <row r="43" spans="1:8">
      <c r="A43" t="s">
        <v>2171</v>
      </c>
      <c r="B43" t="s">
        <v>226</v>
      </c>
      <c r="C43" t="s">
        <v>2123</v>
      </c>
      <c r="D43" s="2">
        <v>46180</v>
      </c>
      <c r="E43" s="2">
        <v>46182</v>
      </c>
      <c r="F43">
        <f t="shared" si="0"/>
        <v>3</v>
      </c>
      <c r="G43" t="s">
        <v>2124</v>
      </c>
      <c r="H43" t="s">
        <v>2125</v>
      </c>
    </row>
    <row r="44" spans="1:8">
      <c r="A44" t="s">
        <v>2172</v>
      </c>
      <c r="B44" t="s">
        <v>229</v>
      </c>
      <c r="C44" t="s">
        <v>2127</v>
      </c>
      <c r="D44" s="2">
        <v>46183</v>
      </c>
      <c r="E44" s="2">
        <v>46186</v>
      </c>
      <c r="F44">
        <f t="shared" si="0"/>
        <v>4</v>
      </c>
      <c r="G44" t="s">
        <v>2128</v>
      </c>
      <c r="H44" t="s">
        <v>2129</v>
      </c>
    </row>
    <row r="45" spans="1:8">
      <c r="A45" t="s">
        <v>2173</v>
      </c>
      <c r="B45" t="s">
        <v>232</v>
      </c>
      <c r="C45" t="s">
        <v>2131</v>
      </c>
      <c r="D45" s="2">
        <v>46186</v>
      </c>
      <c r="E45" s="2">
        <v>46190</v>
      </c>
      <c r="F45">
        <f t="shared" si="0"/>
        <v>5</v>
      </c>
      <c r="G45" t="s">
        <v>2120</v>
      </c>
      <c r="H45" t="s">
        <v>2132</v>
      </c>
    </row>
    <row r="46" spans="1:8">
      <c r="A46" t="s">
        <v>2174</v>
      </c>
      <c r="B46" t="s">
        <v>235</v>
      </c>
      <c r="C46" t="s">
        <v>2119</v>
      </c>
      <c r="D46" s="2">
        <v>46189</v>
      </c>
      <c r="E46" s="2">
        <v>46189</v>
      </c>
      <c r="F46">
        <f t="shared" si="0"/>
        <v>1</v>
      </c>
      <c r="G46" t="s">
        <v>2128</v>
      </c>
      <c r="H46" t="s">
        <v>2134</v>
      </c>
    </row>
    <row r="47" spans="1:8">
      <c r="A47" t="s">
        <v>2175</v>
      </c>
      <c r="B47" t="s">
        <v>238</v>
      </c>
      <c r="C47" t="s">
        <v>2123</v>
      </c>
      <c r="D47" s="2">
        <v>46192</v>
      </c>
      <c r="E47" s="2">
        <v>46193</v>
      </c>
      <c r="F47">
        <f t="shared" si="0"/>
        <v>2</v>
      </c>
      <c r="G47" t="s">
        <v>2120</v>
      </c>
      <c r="H47" t="s">
        <v>2121</v>
      </c>
    </row>
    <row r="48" spans="1:8">
      <c r="A48" t="s">
        <v>2176</v>
      </c>
      <c r="B48" t="s">
        <v>241</v>
      </c>
      <c r="C48" t="s">
        <v>2127</v>
      </c>
      <c r="D48" s="2">
        <v>46195</v>
      </c>
      <c r="E48" s="2">
        <v>46197</v>
      </c>
      <c r="F48">
        <f t="shared" si="0"/>
        <v>3</v>
      </c>
      <c r="G48" t="s">
        <v>2124</v>
      </c>
      <c r="H48" t="s">
        <v>2125</v>
      </c>
    </row>
    <row r="49" spans="1:8">
      <c r="A49" t="s">
        <v>2177</v>
      </c>
      <c r="B49" t="s">
        <v>244</v>
      </c>
      <c r="C49" t="s">
        <v>2131</v>
      </c>
      <c r="D49" s="2">
        <v>46198</v>
      </c>
      <c r="E49" s="2">
        <v>46201</v>
      </c>
      <c r="F49">
        <f t="shared" si="0"/>
        <v>4</v>
      </c>
      <c r="G49" t="s">
        <v>2128</v>
      </c>
      <c r="H49" t="s">
        <v>2129</v>
      </c>
    </row>
    <row r="50" spans="1:8">
      <c r="A50" t="s">
        <v>2178</v>
      </c>
      <c r="B50" t="s">
        <v>247</v>
      </c>
      <c r="C50" t="s">
        <v>2119</v>
      </c>
      <c r="D50" s="2">
        <v>46201</v>
      </c>
      <c r="E50" s="2">
        <v>46205</v>
      </c>
      <c r="F50">
        <f t="shared" si="0"/>
        <v>5</v>
      </c>
      <c r="G50" t="s">
        <v>2120</v>
      </c>
      <c r="H50" t="s">
        <v>2132</v>
      </c>
    </row>
    <row r="51" spans="1:8">
      <c r="A51" t="s">
        <v>2179</v>
      </c>
      <c r="B51" t="s">
        <v>250</v>
      </c>
      <c r="C51" t="s">
        <v>2123</v>
      </c>
      <c r="D51" s="2">
        <v>46204</v>
      </c>
      <c r="E51" s="2">
        <v>46204</v>
      </c>
      <c r="F51">
        <f t="shared" si="0"/>
        <v>1</v>
      </c>
      <c r="G51" t="s">
        <v>2128</v>
      </c>
      <c r="H51" t="s">
        <v>2134</v>
      </c>
    </row>
    <row r="52" spans="1:8">
      <c r="A52" t="s">
        <v>2180</v>
      </c>
      <c r="B52" t="s">
        <v>253</v>
      </c>
      <c r="C52" t="s">
        <v>2127</v>
      </c>
      <c r="D52" s="2">
        <v>46207</v>
      </c>
      <c r="E52" s="2">
        <v>46208</v>
      </c>
      <c r="F52">
        <f t="shared" si="0"/>
        <v>2</v>
      </c>
      <c r="G52" t="s">
        <v>2120</v>
      </c>
      <c r="H52" t="s">
        <v>2121</v>
      </c>
    </row>
    <row r="53" spans="1:8">
      <c r="A53" t="s">
        <v>2181</v>
      </c>
      <c r="B53" t="s">
        <v>256</v>
      </c>
      <c r="C53" t="s">
        <v>2131</v>
      </c>
      <c r="D53" s="2">
        <v>46210</v>
      </c>
      <c r="E53" s="2">
        <v>46212</v>
      </c>
      <c r="F53">
        <f t="shared" si="0"/>
        <v>3</v>
      </c>
      <c r="G53" t="s">
        <v>2124</v>
      </c>
      <c r="H53" t="s">
        <v>2125</v>
      </c>
    </row>
    <row r="54" spans="1:8">
      <c r="A54" t="s">
        <v>2182</v>
      </c>
      <c r="B54" t="s">
        <v>259</v>
      </c>
      <c r="C54" t="s">
        <v>2119</v>
      </c>
      <c r="D54" s="2">
        <v>46213</v>
      </c>
      <c r="E54" s="2">
        <v>46216</v>
      </c>
      <c r="F54">
        <f t="shared" si="0"/>
        <v>4</v>
      </c>
      <c r="G54" t="s">
        <v>2128</v>
      </c>
      <c r="H54" t="s">
        <v>2129</v>
      </c>
    </row>
    <row r="55" spans="1:8">
      <c r="A55" t="s">
        <v>2183</v>
      </c>
      <c r="B55" t="s">
        <v>262</v>
      </c>
      <c r="C55" t="s">
        <v>2123</v>
      </c>
      <c r="D55" s="2">
        <v>46216</v>
      </c>
      <c r="E55" s="2">
        <v>46220</v>
      </c>
      <c r="F55">
        <f t="shared" si="0"/>
        <v>5</v>
      </c>
      <c r="G55" t="s">
        <v>2120</v>
      </c>
      <c r="H55" t="s">
        <v>2132</v>
      </c>
    </row>
    <row r="56" spans="1:8">
      <c r="A56" t="s">
        <v>2184</v>
      </c>
      <c r="B56" t="s">
        <v>265</v>
      </c>
      <c r="C56" t="s">
        <v>2127</v>
      </c>
      <c r="D56" s="2">
        <v>46219</v>
      </c>
      <c r="E56" s="2">
        <v>46219</v>
      </c>
      <c r="F56">
        <f t="shared" si="0"/>
        <v>1</v>
      </c>
      <c r="G56" t="s">
        <v>2128</v>
      </c>
      <c r="H56" t="s">
        <v>2134</v>
      </c>
    </row>
    <row r="57" spans="1:8">
      <c r="A57" t="s">
        <v>2185</v>
      </c>
      <c r="B57" t="s">
        <v>268</v>
      </c>
      <c r="C57" t="s">
        <v>2131</v>
      </c>
      <c r="D57" s="2">
        <v>46222</v>
      </c>
      <c r="E57" s="2">
        <v>46223</v>
      </c>
      <c r="F57">
        <f t="shared" si="0"/>
        <v>2</v>
      </c>
      <c r="G57" t="s">
        <v>2120</v>
      </c>
      <c r="H57" t="s">
        <v>2121</v>
      </c>
    </row>
    <row r="58" spans="1:8">
      <c r="A58" t="s">
        <v>2186</v>
      </c>
      <c r="B58" t="s">
        <v>271</v>
      </c>
      <c r="C58" t="s">
        <v>2119</v>
      </c>
      <c r="D58" s="2">
        <v>46225</v>
      </c>
      <c r="E58" s="2">
        <v>46227</v>
      </c>
      <c r="F58">
        <f t="shared" si="0"/>
        <v>3</v>
      </c>
      <c r="G58" t="s">
        <v>2124</v>
      </c>
      <c r="H58" t="s">
        <v>2125</v>
      </c>
    </row>
    <row r="59" spans="1:8">
      <c r="A59" t="s">
        <v>2187</v>
      </c>
      <c r="B59" t="s">
        <v>274</v>
      </c>
      <c r="C59" t="s">
        <v>2123</v>
      </c>
      <c r="D59" s="2">
        <v>46228</v>
      </c>
      <c r="E59" s="2">
        <v>46231</v>
      </c>
      <c r="F59">
        <f t="shared" si="0"/>
        <v>4</v>
      </c>
      <c r="G59" t="s">
        <v>2128</v>
      </c>
      <c r="H59" t="s">
        <v>2129</v>
      </c>
    </row>
    <row r="60" spans="1:8">
      <c r="A60" t="s">
        <v>2188</v>
      </c>
      <c r="B60" t="s">
        <v>277</v>
      </c>
      <c r="C60" t="s">
        <v>2127</v>
      </c>
      <c r="D60" s="2">
        <v>46231</v>
      </c>
      <c r="E60" s="2">
        <v>46235</v>
      </c>
      <c r="F60">
        <f t="shared" si="0"/>
        <v>5</v>
      </c>
      <c r="G60" t="s">
        <v>2120</v>
      </c>
      <c r="H60" t="s">
        <v>2132</v>
      </c>
    </row>
    <row r="61" spans="1:8">
      <c r="A61" t="s">
        <v>2189</v>
      </c>
      <c r="B61" t="s">
        <v>280</v>
      </c>
      <c r="C61" t="s">
        <v>2131</v>
      </c>
      <c r="D61" s="2">
        <v>46174</v>
      </c>
      <c r="E61" s="2">
        <v>46174</v>
      </c>
      <c r="F61">
        <f t="shared" si="0"/>
        <v>1</v>
      </c>
      <c r="G61" t="s">
        <v>2128</v>
      </c>
      <c r="H61" t="s">
        <v>2134</v>
      </c>
    </row>
    <row r="62" spans="1:8">
      <c r="A62" t="s">
        <v>2190</v>
      </c>
      <c r="B62" t="s">
        <v>283</v>
      </c>
      <c r="C62" t="s">
        <v>2119</v>
      </c>
      <c r="D62" s="2">
        <v>46177</v>
      </c>
      <c r="E62" s="2">
        <v>46178</v>
      </c>
      <c r="F62">
        <f t="shared" si="0"/>
        <v>2</v>
      </c>
      <c r="G62" t="s">
        <v>2120</v>
      </c>
      <c r="H62" t="s">
        <v>2121</v>
      </c>
    </row>
    <row r="63" spans="1:8">
      <c r="A63" t="s">
        <v>2191</v>
      </c>
      <c r="B63" t="s">
        <v>286</v>
      </c>
      <c r="C63" t="s">
        <v>2123</v>
      </c>
      <c r="D63" s="2">
        <v>46180</v>
      </c>
      <c r="E63" s="2">
        <v>46182</v>
      </c>
      <c r="F63">
        <f t="shared" si="0"/>
        <v>3</v>
      </c>
      <c r="G63" t="s">
        <v>2124</v>
      </c>
      <c r="H63" t="s">
        <v>2125</v>
      </c>
    </row>
    <row r="64" spans="1:8">
      <c r="A64" t="s">
        <v>2192</v>
      </c>
      <c r="B64" t="s">
        <v>289</v>
      </c>
      <c r="C64" t="s">
        <v>2127</v>
      </c>
      <c r="D64" s="2">
        <v>46183</v>
      </c>
      <c r="E64" s="2">
        <v>46186</v>
      </c>
      <c r="F64">
        <f t="shared" si="0"/>
        <v>4</v>
      </c>
      <c r="G64" t="s">
        <v>2128</v>
      </c>
      <c r="H64" t="s">
        <v>2129</v>
      </c>
    </row>
    <row r="65" spans="1:8">
      <c r="A65" t="s">
        <v>2193</v>
      </c>
      <c r="B65" t="s">
        <v>292</v>
      </c>
      <c r="C65" t="s">
        <v>2131</v>
      </c>
      <c r="D65" s="2">
        <v>46186</v>
      </c>
      <c r="E65" s="2">
        <v>46190</v>
      </c>
      <c r="F65">
        <f t="shared" si="0"/>
        <v>5</v>
      </c>
      <c r="G65" t="s">
        <v>2120</v>
      </c>
      <c r="H65" t="s">
        <v>2132</v>
      </c>
    </row>
    <row r="66" spans="1:8">
      <c r="A66" t="s">
        <v>2194</v>
      </c>
      <c r="B66" t="s">
        <v>295</v>
      </c>
      <c r="C66" t="s">
        <v>2119</v>
      </c>
      <c r="D66" s="2">
        <v>46189</v>
      </c>
      <c r="E66" s="2">
        <v>46189</v>
      </c>
      <c r="F66">
        <f t="shared" ref="F66:F129" si="1">E66-D66+1</f>
        <v>1</v>
      </c>
      <c r="G66" t="s">
        <v>2128</v>
      </c>
      <c r="H66" t="s">
        <v>2134</v>
      </c>
    </row>
    <row r="67" spans="1:8">
      <c r="A67" t="s">
        <v>2195</v>
      </c>
      <c r="B67" t="s">
        <v>298</v>
      </c>
      <c r="C67" t="s">
        <v>2123</v>
      </c>
      <c r="D67" s="2">
        <v>46192</v>
      </c>
      <c r="E67" s="2">
        <v>46193</v>
      </c>
      <c r="F67">
        <f t="shared" si="1"/>
        <v>2</v>
      </c>
      <c r="G67" t="s">
        <v>2120</v>
      </c>
      <c r="H67" t="s">
        <v>2121</v>
      </c>
    </row>
    <row r="68" spans="1:8">
      <c r="A68" t="s">
        <v>2196</v>
      </c>
      <c r="B68" t="s">
        <v>301</v>
      </c>
      <c r="C68" t="s">
        <v>2127</v>
      </c>
      <c r="D68" s="2">
        <v>46195</v>
      </c>
      <c r="E68" s="2">
        <v>46197</v>
      </c>
      <c r="F68">
        <f t="shared" si="1"/>
        <v>3</v>
      </c>
      <c r="G68" t="s">
        <v>2124</v>
      </c>
      <c r="H68" t="s">
        <v>2125</v>
      </c>
    </row>
    <row r="69" spans="1:8">
      <c r="A69" t="s">
        <v>2197</v>
      </c>
      <c r="B69" t="s">
        <v>304</v>
      </c>
      <c r="C69" t="s">
        <v>2131</v>
      </c>
      <c r="D69" s="2">
        <v>46198</v>
      </c>
      <c r="E69" s="2">
        <v>46201</v>
      </c>
      <c r="F69">
        <f t="shared" si="1"/>
        <v>4</v>
      </c>
      <c r="G69" t="s">
        <v>2128</v>
      </c>
      <c r="H69" t="s">
        <v>2129</v>
      </c>
    </row>
    <row r="70" spans="1:8">
      <c r="A70" t="s">
        <v>2198</v>
      </c>
      <c r="B70" t="s">
        <v>307</v>
      </c>
      <c r="C70" t="s">
        <v>2119</v>
      </c>
      <c r="D70" s="2">
        <v>46201</v>
      </c>
      <c r="E70" s="2">
        <v>46205</v>
      </c>
      <c r="F70">
        <f t="shared" si="1"/>
        <v>5</v>
      </c>
      <c r="G70" t="s">
        <v>2120</v>
      </c>
      <c r="H70" t="s">
        <v>2132</v>
      </c>
    </row>
    <row r="71" spans="1:8">
      <c r="A71" t="s">
        <v>2199</v>
      </c>
      <c r="B71" t="s">
        <v>310</v>
      </c>
      <c r="C71" t="s">
        <v>2123</v>
      </c>
      <c r="D71" s="2">
        <v>46204</v>
      </c>
      <c r="E71" s="2">
        <v>46204</v>
      </c>
      <c r="F71">
        <f t="shared" si="1"/>
        <v>1</v>
      </c>
      <c r="G71" t="s">
        <v>2128</v>
      </c>
      <c r="H71" t="s">
        <v>2134</v>
      </c>
    </row>
    <row r="72" spans="1:8">
      <c r="A72" t="s">
        <v>2200</v>
      </c>
      <c r="B72" t="s">
        <v>313</v>
      </c>
      <c r="C72" t="s">
        <v>2127</v>
      </c>
      <c r="D72" s="2">
        <v>46207</v>
      </c>
      <c r="E72" s="2">
        <v>46208</v>
      </c>
      <c r="F72">
        <f t="shared" si="1"/>
        <v>2</v>
      </c>
      <c r="G72" t="s">
        <v>2120</v>
      </c>
      <c r="H72" t="s">
        <v>2121</v>
      </c>
    </row>
    <row r="73" spans="1:8">
      <c r="A73" t="s">
        <v>2201</v>
      </c>
      <c r="B73" t="s">
        <v>316</v>
      </c>
      <c r="C73" t="s">
        <v>2131</v>
      </c>
      <c r="D73" s="2">
        <v>46210</v>
      </c>
      <c r="E73" s="2">
        <v>46212</v>
      </c>
      <c r="F73">
        <f t="shared" si="1"/>
        <v>3</v>
      </c>
      <c r="G73" t="s">
        <v>2124</v>
      </c>
      <c r="H73" t="s">
        <v>2125</v>
      </c>
    </row>
    <row r="74" spans="1:8">
      <c r="A74" t="s">
        <v>2202</v>
      </c>
      <c r="B74" t="s">
        <v>319</v>
      </c>
      <c r="C74" t="s">
        <v>2119</v>
      </c>
      <c r="D74" s="2">
        <v>46213</v>
      </c>
      <c r="E74" s="2">
        <v>46216</v>
      </c>
      <c r="F74">
        <f t="shared" si="1"/>
        <v>4</v>
      </c>
      <c r="G74" t="s">
        <v>2128</v>
      </c>
      <c r="H74" t="s">
        <v>2129</v>
      </c>
    </row>
    <row r="75" spans="1:8">
      <c r="A75" t="s">
        <v>2203</v>
      </c>
      <c r="B75" t="s">
        <v>322</v>
      </c>
      <c r="C75" t="s">
        <v>2123</v>
      </c>
      <c r="D75" s="2">
        <v>46216</v>
      </c>
      <c r="E75" s="2">
        <v>46220</v>
      </c>
      <c r="F75">
        <f t="shared" si="1"/>
        <v>5</v>
      </c>
      <c r="G75" t="s">
        <v>2120</v>
      </c>
      <c r="H75" t="s">
        <v>2132</v>
      </c>
    </row>
    <row r="76" spans="1:8">
      <c r="A76" t="s">
        <v>2204</v>
      </c>
      <c r="B76" t="s">
        <v>325</v>
      </c>
      <c r="C76" t="s">
        <v>2127</v>
      </c>
      <c r="D76" s="2">
        <v>46219</v>
      </c>
      <c r="E76" s="2">
        <v>46219</v>
      </c>
      <c r="F76">
        <f t="shared" si="1"/>
        <v>1</v>
      </c>
      <c r="G76" t="s">
        <v>2128</v>
      </c>
      <c r="H76" t="s">
        <v>2134</v>
      </c>
    </row>
    <row r="77" spans="1:8">
      <c r="A77" t="s">
        <v>2205</v>
      </c>
      <c r="B77" t="s">
        <v>328</v>
      </c>
      <c r="C77" t="s">
        <v>2131</v>
      </c>
      <c r="D77" s="2">
        <v>46222</v>
      </c>
      <c r="E77" s="2">
        <v>46223</v>
      </c>
      <c r="F77">
        <f t="shared" si="1"/>
        <v>2</v>
      </c>
      <c r="G77" t="s">
        <v>2120</v>
      </c>
      <c r="H77" t="s">
        <v>2121</v>
      </c>
    </row>
    <row r="78" spans="1:8">
      <c r="A78" t="s">
        <v>2206</v>
      </c>
      <c r="B78" t="s">
        <v>331</v>
      </c>
      <c r="C78" t="s">
        <v>2119</v>
      </c>
      <c r="D78" s="2">
        <v>46225</v>
      </c>
      <c r="E78" s="2">
        <v>46227</v>
      </c>
      <c r="F78">
        <f t="shared" si="1"/>
        <v>3</v>
      </c>
      <c r="G78" t="s">
        <v>2124</v>
      </c>
      <c r="H78" t="s">
        <v>2125</v>
      </c>
    </row>
    <row r="79" spans="1:8">
      <c r="A79" t="s">
        <v>2207</v>
      </c>
      <c r="B79" t="s">
        <v>334</v>
      </c>
      <c r="C79" t="s">
        <v>2123</v>
      </c>
      <c r="D79" s="2">
        <v>46228</v>
      </c>
      <c r="E79" s="2">
        <v>46231</v>
      </c>
      <c r="F79">
        <f t="shared" si="1"/>
        <v>4</v>
      </c>
      <c r="G79" t="s">
        <v>2128</v>
      </c>
      <c r="H79" t="s">
        <v>2129</v>
      </c>
    </row>
    <row r="80" spans="1:8">
      <c r="A80" t="s">
        <v>2208</v>
      </c>
      <c r="B80" t="s">
        <v>337</v>
      </c>
      <c r="C80" t="s">
        <v>2127</v>
      </c>
      <c r="D80" s="2">
        <v>46231</v>
      </c>
      <c r="E80" s="2">
        <v>46235</v>
      </c>
      <c r="F80">
        <f t="shared" si="1"/>
        <v>5</v>
      </c>
      <c r="G80" t="s">
        <v>2120</v>
      </c>
      <c r="H80" t="s">
        <v>2132</v>
      </c>
    </row>
    <row r="81" spans="1:8">
      <c r="A81" t="s">
        <v>2209</v>
      </c>
      <c r="B81" t="s">
        <v>340</v>
      </c>
      <c r="C81" t="s">
        <v>2131</v>
      </c>
      <c r="D81" s="2">
        <v>46174</v>
      </c>
      <c r="E81" s="2">
        <v>46174</v>
      </c>
      <c r="F81">
        <f t="shared" si="1"/>
        <v>1</v>
      </c>
      <c r="G81" t="s">
        <v>2128</v>
      </c>
      <c r="H81" t="s">
        <v>2134</v>
      </c>
    </row>
    <row r="82" spans="1:8">
      <c r="A82" t="s">
        <v>2210</v>
      </c>
      <c r="B82" t="s">
        <v>343</v>
      </c>
      <c r="C82" t="s">
        <v>2119</v>
      </c>
      <c r="D82" s="2">
        <v>46177</v>
      </c>
      <c r="E82" s="2">
        <v>46178</v>
      </c>
      <c r="F82">
        <f t="shared" si="1"/>
        <v>2</v>
      </c>
      <c r="G82" t="s">
        <v>2120</v>
      </c>
      <c r="H82" t="s">
        <v>2121</v>
      </c>
    </row>
    <row r="83" spans="1:8">
      <c r="A83" t="s">
        <v>2211</v>
      </c>
      <c r="B83" t="s">
        <v>346</v>
      </c>
      <c r="C83" t="s">
        <v>2123</v>
      </c>
      <c r="D83" s="2">
        <v>46180</v>
      </c>
      <c r="E83" s="2">
        <v>46182</v>
      </c>
      <c r="F83">
        <f t="shared" si="1"/>
        <v>3</v>
      </c>
      <c r="G83" t="s">
        <v>2124</v>
      </c>
      <c r="H83" t="s">
        <v>2125</v>
      </c>
    </row>
    <row r="84" spans="1:8">
      <c r="A84" t="s">
        <v>2212</v>
      </c>
      <c r="B84" t="s">
        <v>349</v>
      </c>
      <c r="C84" t="s">
        <v>2127</v>
      </c>
      <c r="D84" s="2">
        <v>46183</v>
      </c>
      <c r="E84" s="2">
        <v>46186</v>
      </c>
      <c r="F84">
        <f t="shared" si="1"/>
        <v>4</v>
      </c>
      <c r="G84" t="s">
        <v>2128</v>
      </c>
      <c r="H84" t="s">
        <v>2129</v>
      </c>
    </row>
    <row r="85" spans="1:8">
      <c r="A85" t="s">
        <v>2213</v>
      </c>
      <c r="B85" t="s">
        <v>352</v>
      </c>
      <c r="C85" t="s">
        <v>2131</v>
      </c>
      <c r="D85" s="2">
        <v>46186</v>
      </c>
      <c r="E85" s="2">
        <v>46190</v>
      </c>
      <c r="F85">
        <f t="shared" si="1"/>
        <v>5</v>
      </c>
      <c r="G85" t="s">
        <v>2120</v>
      </c>
      <c r="H85" t="s">
        <v>2132</v>
      </c>
    </row>
    <row r="86" spans="1:8">
      <c r="A86" t="s">
        <v>2214</v>
      </c>
      <c r="B86" t="s">
        <v>355</v>
      </c>
      <c r="C86" t="s">
        <v>2119</v>
      </c>
      <c r="D86" s="2">
        <v>46189</v>
      </c>
      <c r="E86" s="2">
        <v>46189</v>
      </c>
      <c r="F86">
        <f t="shared" si="1"/>
        <v>1</v>
      </c>
      <c r="G86" t="s">
        <v>2128</v>
      </c>
      <c r="H86" t="s">
        <v>2134</v>
      </c>
    </row>
    <row r="87" spans="1:8">
      <c r="A87" t="s">
        <v>2215</v>
      </c>
      <c r="B87" t="s">
        <v>358</v>
      </c>
      <c r="C87" t="s">
        <v>2123</v>
      </c>
      <c r="D87" s="2">
        <v>46192</v>
      </c>
      <c r="E87" s="2">
        <v>46193</v>
      </c>
      <c r="F87">
        <f t="shared" si="1"/>
        <v>2</v>
      </c>
      <c r="G87" t="s">
        <v>2120</v>
      </c>
      <c r="H87" t="s">
        <v>2121</v>
      </c>
    </row>
    <row r="88" spans="1:8">
      <c r="A88" t="s">
        <v>2216</v>
      </c>
      <c r="B88" t="s">
        <v>361</v>
      </c>
      <c r="C88" t="s">
        <v>2127</v>
      </c>
      <c r="D88" s="2">
        <v>46195</v>
      </c>
      <c r="E88" s="2">
        <v>46197</v>
      </c>
      <c r="F88">
        <f t="shared" si="1"/>
        <v>3</v>
      </c>
      <c r="G88" t="s">
        <v>2124</v>
      </c>
      <c r="H88" t="s">
        <v>2125</v>
      </c>
    </row>
    <row r="89" spans="1:8">
      <c r="A89" t="s">
        <v>2217</v>
      </c>
      <c r="B89" t="s">
        <v>364</v>
      </c>
      <c r="C89" t="s">
        <v>2131</v>
      </c>
      <c r="D89" s="2">
        <v>46198</v>
      </c>
      <c r="E89" s="2">
        <v>46201</v>
      </c>
      <c r="F89">
        <f t="shared" si="1"/>
        <v>4</v>
      </c>
      <c r="G89" t="s">
        <v>2128</v>
      </c>
      <c r="H89" t="s">
        <v>2129</v>
      </c>
    </row>
    <row r="90" spans="1:8">
      <c r="A90" t="s">
        <v>2218</v>
      </c>
      <c r="B90" t="s">
        <v>367</v>
      </c>
      <c r="C90" t="s">
        <v>2119</v>
      </c>
      <c r="D90" s="2">
        <v>46201</v>
      </c>
      <c r="E90" s="2">
        <v>46205</v>
      </c>
      <c r="F90">
        <f t="shared" si="1"/>
        <v>5</v>
      </c>
      <c r="G90" t="s">
        <v>2120</v>
      </c>
      <c r="H90" t="s">
        <v>2132</v>
      </c>
    </row>
    <row r="91" spans="1:8">
      <c r="A91" t="s">
        <v>2219</v>
      </c>
      <c r="B91" t="s">
        <v>370</v>
      </c>
      <c r="C91" t="s">
        <v>2123</v>
      </c>
      <c r="D91" s="2">
        <v>46204</v>
      </c>
      <c r="E91" s="2">
        <v>46204</v>
      </c>
      <c r="F91">
        <f t="shared" si="1"/>
        <v>1</v>
      </c>
      <c r="G91" t="s">
        <v>2128</v>
      </c>
      <c r="H91" t="s">
        <v>2134</v>
      </c>
    </row>
    <row r="92" spans="1:8">
      <c r="A92" t="s">
        <v>2220</v>
      </c>
      <c r="B92" t="s">
        <v>373</v>
      </c>
      <c r="C92" t="s">
        <v>2127</v>
      </c>
      <c r="D92" s="2">
        <v>46207</v>
      </c>
      <c r="E92" s="2">
        <v>46208</v>
      </c>
      <c r="F92">
        <f t="shared" si="1"/>
        <v>2</v>
      </c>
      <c r="G92" t="s">
        <v>2120</v>
      </c>
      <c r="H92" t="s">
        <v>2121</v>
      </c>
    </row>
    <row r="93" spans="1:8">
      <c r="A93" t="s">
        <v>2221</v>
      </c>
      <c r="B93" t="s">
        <v>376</v>
      </c>
      <c r="C93" t="s">
        <v>2131</v>
      </c>
      <c r="D93" s="2">
        <v>46210</v>
      </c>
      <c r="E93" s="2">
        <v>46212</v>
      </c>
      <c r="F93">
        <f t="shared" si="1"/>
        <v>3</v>
      </c>
      <c r="G93" t="s">
        <v>2124</v>
      </c>
      <c r="H93" t="s">
        <v>2125</v>
      </c>
    </row>
    <row r="94" spans="1:8">
      <c r="A94" t="s">
        <v>2222</v>
      </c>
      <c r="B94" t="s">
        <v>379</v>
      </c>
      <c r="C94" t="s">
        <v>2119</v>
      </c>
      <c r="D94" s="2">
        <v>46213</v>
      </c>
      <c r="E94" s="2">
        <v>46216</v>
      </c>
      <c r="F94">
        <f t="shared" si="1"/>
        <v>4</v>
      </c>
      <c r="G94" t="s">
        <v>2128</v>
      </c>
      <c r="H94" t="s">
        <v>2129</v>
      </c>
    </row>
    <row r="95" spans="1:8">
      <c r="A95" t="s">
        <v>2223</v>
      </c>
      <c r="B95" t="s">
        <v>382</v>
      </c>
      <c r="C95" t="s">
        <v>2123</v>
      </c>
      <c r="D95" s="2">
        <v>46216</v>
      </c>
      <c r="E95" s="2">
        <v>46220</v>
      </c>
      <c r="F95">
        <f t="shared" si="1"/>
        <v>5</v>
      </c>
      <c r="G95" t="s">
        <v>2120</v>
      </c>
      <c r="H95" t="s">
        <v>2132</v>
      </c>
    </row>
    <row r="96" spans="1:8">
      <c r="A96" t="s">
        <v>2224</v>
      </c>
      <c r="B96" t="s">
        <v>385</v>
      </c>
      <c r="C96" t="s">
        <v>2127</v>
      </c>
      <c r="D96" s="2">
        <v>46219</v>
      </c>
      <c r="E96" s="2">
        <v>46219</v>
      </c>
      <c r="F96">
        <f t="shared" si="1"/>
        <v>1</v>
      </c>
      <c r="G96" t="s">
        <v>2128</v>
      </c>
      <c r="H96" t="s">
        <v>2134</v>
      </c>
    </row>
    <row r="97" spans="1:8">
      <c r="A97" t="s">
        <v>2225</v>
      </c>
      <c r="B97" t="s">
        <v>388</v>
      </c>
      <c r="C97" t="s">
        <v>2131</v>
      </c>
      <c r="D97" s="2">
        <v>46222</v>
      </c>
      <c r="E97" s="2">
        <v>46223</v>
      </c>
      <c r="F97">
        <f t="shared" si="1"/>
        <v>2</v>
      </c>
      <c r="G97" t="s">
        <v>2120</v>
      </c>
      <c r="H97" t="s">
        <v>2121</v>
      </c>
    </row>
    <row r="98" spans="1:8">
      <c r="A98" t="s">
        <v>2226</v>
      </c>
      <c r="B98" t="s">
        <v>391</v>
      </c>
      <c r="C98" t="s">
        <v>2119</v>
      </c>
      <c r="D98" s="2">
        <v>46225</v>
      </c>
      <c r="E98" s="2">
        <v>46227</v>
      </c>
      <c r="F98">
        <f t="shared" si="1"/>
        <v>3</v>
      </c>
      <c r="G98" t="s">
        <v>2124</v>
      </c>
      <c r="H98" t="s">
        <v>2125</v>
      </c>
    </row>
    <row r="99" spans="1:8">
      <c r="A99" t="s">
        <v>2227</v>
      </c>
      <c r="B99" t="s">
        <v>394</v>
      </c>
      <c r="C99" t="s">
        <v>2123</v>
      </c>
      <c r="D99" s="2">
        <v>46228</v>
      </c>
      <c r="E99" s="2">
        <v>46231</v>
      </c>
      <c r="F99">
        <f t="shared" si="1"/>
        <v>4</v>
      </c>
      <c r="G99" t="s">
        <v>2128</v>
      </c>
      <c r="H99" t="s">
        <v>2129</v>
      </c>
    </row>
    <row r="100" spans="1:8">
      <c r="A100" t="s">
        <v>2228</v>
      </c>
      <c r="B100" t="s">
        <v>397</v>
      </c>
      <c r="C100" t="s">
        <v>2127</v>
      </c>
      <c r="D100" s="2">
        <v>46231</v>
      </c>
      <c r="E100" s="2">
        <v>46235</v>
      </c>
      <c r="F100">
        <f t="shared" si="1"/>
        <v>5</v>
      </c>
      <c r="G100" t="s">
        <v>2120</v>
      </c>
      <c r="H100" t="s">
        <v>2132</v>
      </c>
    </row>
    <row r="101" spans="1:8">
      <c r="A101" t="s">
        <v>2229</v>
      </c>
      <c r="B101" t="s">
        <v>400</v>
      </c>
      <c r="C101" t="s">
        <v>2131</v>
      </c>
      <c r="D101" s="2">
        <v>46174</v>
      </c>
      <c r="E101" s="2">
        <v>46174</v>
      </c>
      <c r="F101">
        <f t="shared" si="1"/>
        <v>1</v>
      </c>
      <c r="G101" t="s">
        <v>2128</v>
      </c>
      <c r="H101" t="s">
        <v>2134</v>
      </c>
    </row>
    <row r="102" spans="1:8">
      <c r="A102" t="s">
        <v>2230</v>
      </c>
      <c r="B102" t="s">
        <v>403</v>
      </c>
      <c r="C102" t="s">
        <v>2119</v>
      </c>
      <c r="D102" s="2">
        <v>46177</v>
      </c>
      <c r="E102" s="2">
        <v>46178</v>
      </c>
      <c r="F102">
        <f t="shared" si="1"/>
        <v>2</v>
      </c>
      <c r="G102" t="s">
        <v>2120</v>
      </c>
      <c r="H102" t="s">
        <v>2121</v>
      </c>
    </row>
    <row r="103" spans="1:8">
      <c r="A103" t="s">
        <v>2231</v>
      </c>
      <c r="B103" t="s">
        <v>406</v>
      </c>
      <c r="C103" t="s">
        <v>2123</v>
      </c>
      <c r="D103" s="2">
        <v>46180</v>
      </c>
      <c r="E103" s="2">
        <v>46182</v>
      </c>
      <c r="F103">
        <f t="shared" si="1"/>
        <v>3</v>
      </c>
      <c r="G103" t="s">
        <v>2124</v>
      </c>
      <c r="H103" t="s">
        <v>2125</v>
      </c>
    </row>
    <row r="104" spans="1:8">
      <c r="A104" t="s">
        <v>2232</v>
      </c>
      <c r="B104" t="s">
        <v>409</v>
      </c>
      <c r="C104" t="s">
        <v>2127</v>
      </c>
      <c r="D104" s="2">
        <v>46183</v>
      </c>
      <c r="E104" s="2">
        <v>46186</v>
      </c>
      <c r="F104">
        <f t="shared" si="1"/>
        <v>4</v>
      </c>
      <c r="G104" t="s">
        <v>2128</v>
      </c>
      <c r="H104" t="s">
        <v>2129</v>
      </c>
    </row>
    <row r="105" spans="1:8">
      <c r="A105" t="s">
        <v>2233</v>
      </c>
      <c r="B105" t="s">
        <v>412</v>
      </c>
      <c r="C105" t="s">
        <v>2131</v>
      </c>
      <c r="D105" s="2">
        <v>46186</v>
      </c>
      <c r="E105" s="2">
        <v>46190</v>
      </c>
      <c r="F105">
        <f t="shared" si="1"/>
        <v>5</v>
      </c>
      <c r="G105" t="s">
        <v>2120</v>
      </c>
      <c r="H105" t="s">
        <v>2132</v>
      </c>
    </row>
    <row r="106" spans="1:8">
      <c r="A106" t="s">
        <v>2234</v>
      </c>
      <c r="B106" t="s">
        <v>415</v>
      </c>
      <c r="C106" t="s">
        <v>2119</v>
      </c>
      <c r="D106" s="2">
        <v>46189</v>
      </c>
      <c r="E106" s="2">
        <v>46189</v>
      </c>
      <c r="F106">
        <f t="shared" si="1"/>
        <v>1</v>
      </c>
      <c r="G106" t="s">
        <v>2128</v>
      </c>
      <c r="H106" t="s">
        <v>2134</v>
      </c>
    </row>
    <row r="107" spans="1:8">
      <c r="A107" t="s">
        <v>2235</v>
      </c>
      <c r="B107" t="s">
        <v>418</v>
      </c>
      <c r="C107" t="s">
        <v>2123</v>
      </c>
      <c r="D107" s="2">
        <v>46192</v>
      </c>
      <c r="E107" s="2">
        <v>46193</v>
      </c>
      <c r="F107">
        <f t="shared" si="1"/>
        <v>2</v>
      </c>
      <c r="G107" t="s">
        <v>2120</v>
      </c>
      <c r="H107" t="s">
        <v>2121</v>
      </c>
    </row>
    <row r="108" spans="1:8">
      <c r="A108" t="s">
        <v>2236</v>
      </c>
      <c r="B108" t="s">
        <v>421</v>
      </c>
      <c r="C108" t="s">
        <v>2127</v>
      </c>
      <c r="D108" s="2">
        <v>46195</v>
      </c>
      <c r="E108" s="2">
        <v>46197</v>
      </c>
      <c r="F108">
        <f t="shared" si="1"/>
        <v>3</v>
      </c>
      <c r="G108" t="s">
        <v>2124</v>
      </c>
      <c r="H108" t="s">
        <v>2125</v>
      </c>
    </row>
    <row r="109" spans="1:8">
      <c r="A109" t="s">
        <v>2237</v>
      </c>
      <c r="B109" t="s">
        <v>424</v>
      </c>
      <c r="C109" t="s">
        <v>2131</v>
      </c>
      <c r="D109" s="2">
        <v>46198</v>
      </c>
      <c r="E109" s="2">
        <v>46201</v>
      </c>
      <c r="F109">
        <f t="shared" si="1"/>
        <v>4</v>
      </c>
      <c r="G109" t="s">
        <v>2128</v>
      </c>
      <c r="H109" t="s">
        <v>2129</v>
      </c>
    </row>
    <row r="110" spans="1:8">
      <c r="A110" t="s">
        <v>2238</v>
      </c>
      <c r="B110" t="s">
        <v>427</v>
      </c>
      <c r="C110" t="s">
        <v>2119</v>
      </c>
      <c r="D110" s="2">
        <v>46201</v>
      </c>
      <c r="E110" s="2">
        <v>46205</v>
      </c>
      <c r="F110">
        <f t="shared" si="1"/>
        <v>5</v>
      </c>
      <c r="G110" t="s">
        <v>2120</v>
      </c>
      <c r="H110" t="s">
        <v>2132</v>
      </c>
    </row>
    <row r="111" spans="1:8">
      <c r="A111" t="s">
        <v>2239</v>
      </c>
      <c r="B111" t="s">
        <v>430</v>
      </c>
      <c r="C111" t="s">
        <v>2123</v>
      </c>
      <c r="D111" s="2">
        <v>46204</v>
      </c>
      <c r="E111" s="2">
        <v>46204</v>
      </c>
      <c r="F111">
        <f t="shared" si="1"/>
        <v>1</v>
      </c>
      <c r="G111" t="s">
        <v>2128</v>
      </c>
      <c r="H111" t="s">
        <v>2134</v>
      </c>
    </row>
    <row r="112" spans="1:8">
      <c r="A112" t="s">
        <v>2240</v>
      </c>
      <c r="B112" t="s">
        <v>433</v>
      </c>
      <c r="C112" t="s">
        <v>2127</v>
      </c>
      <c r="D112" s="2">
        <v>46207</v>
      </c>
      <c r="E112" s="2">
        <v>46208</v>
      </c>
      <c r="F112">
        <f t="shared" si="1"/>
        <v>2</v>
      </c>
      <c r="G112" t="s">
        <v>2120</v>
      </c>
      <c r="H112" t="s">
        <v>2121</v>
      </c>
    </row>
    <row r="113" spans="1:8">
      <c r="A113" t="s">
        <v>2241</v>
      </c>
      <c r="B113" t="s">
        <v>436</v>
      </c>
      <c r="C113" t="s">
        <v>2131</v>
      </c>
      <c r="D113" s="2">
        <v>46210</v>
      </c>
      <c r="E113" s="2">
        <v>46212</v>
      </c>
      <c r="F113">
        <f t="shared" si="1"/>
        <v>3</v>
      </c>
      <c r="G113" t="s">
        <v>2124</v>
      </c>
      <c r="H113" t="s">
        <v>2125</v>
      </c>
    </row>
    <row r="114" spans="1:8">
      <c r="A114" t="s">
        <v>2242</v>
      </c>
      <c r="B114" t="s">
        <v>439</v>
      </c>
      <c r="C114" t="s">
        <v>2119</v>
      </c>
      <c r="D114" s="2">
        <v>46213</v>
      </c>
      <c r="E114" s="2">
        <v>46216</v>
      </c>
      <c r="F114">
        <f t="shared" si="1"/>
        <v>4</v>
      </c>
      <c r="G114" t="s">
        <v>2128</v>
      </c>
      <c r="H114" t="s">
        <v>2129</v>
      </c>
    </row>
    <row r="115" spans="1:8">
      <c r="A115" t="s">
        <v>2243</v>
      </c>
      <c r="B115" t="s">
        <v>442</v>
      </c>
      <c r="C115" t="s">
        <v>2123</v>
      </c>
      <c r="D115" s="2">
        <v>46216</v>
      </c>
      <c r="E115" s="2">
        <v>46220</v>
      </c>
      <c r="F115">
        <f t="shared" si="1"/>
        <v>5</v>
      </c>
      <c r="G115" t="s">
        <v>2120</v>
      </c>
      <c r="H115" t="s">
        <v>2132</v>
      </c>
    </row>
    <row r="116" spans="1:8">
      <c r="A116" t="s">
        <v>2244</v>
      </c>
      <c r="B116" t="s">
        <v>445</v>
      </c>
      <c r="C116" t="s">
        <v>2127</v>
      </c>
      <c r="D116" s="2">
        <v>46219</v>
      </c>
      <c r="E116" s="2">
        <v>46219</v>
      </c>
      <c r="F116">
        <f t="shared" si="1"/>
        <v>1</v>
      </c>
      <c r="G116" t="s">
        <v>2128</v>
      </c>
      <c r="H116" t="s">
        <v>2134</v>
      </c>
    </row>
    <row r="117" spans="1:8">
      <c r="A117" t="s">
        <v>2245</v>
      </c>
      <c r="B117" t="s">
        <v>448</v>
      </c>
      <c r="C117" t="s">
        <v>2131</v>
      </c>
      <c r="D117" s="2">
        <v>46222</v>
      </c>
      <c r="E117" s="2">
        <v>46223</v>
      </c>
      <c r="F117">
        <f t="shared" si="1"/>
        <v>2</v>
      </c>
      <c r="G117" t="s">
        <v>2120</v>
      </c>
      <c r="H117" t="s">
        <v>2121</v>
      </c>
    </row>
    <row r="118" spans="1:8">
      <c r="A118" t="s">
        <v>2246</v>
      </c>
      <c r="B118" t="s">
        <v>451</v>
      </c>
      <c r="C118" t="s">
        <v>2119</v>
      </c>
      <c r="D118" s="2">
        <v>46225</v>
      </c>
      <c r="E118" s="2">
        <v>46227</v>
      </c>
      <c r="F118">
        <f t="shared" si="1"/>
        <v>3</v>
      </c>
      <c r="G118" t="s">
        <v>2124</v>
      </c>
      <c r="H118" t="s">
        <v>2125</v>
      </c>
    </row>
    <row r="119" spans="1:8">
      <c r="A119" t="s">
        <v>2247</v>
      </c>
      <c r="B119" t="s">
        <v>454</v>
      </c>
      <c r="C119" t="s">
        <v>2123</v>
      </c>
      <c r="D119" s="2">
        <v>46228</v>
      </c>
      <c r="E119" s="2">
        <v>46231</v>
      </c>
      <c r="F119">
        <f t="shared" si="1"/>
        <v>4</v>
      </c>
      <c r="G119" t="s">
        <v>2128</v>
      </c>
      <c r="H119" t="s">
        <v>2129</v>
      </c>
    </row>
    <row r="120" spans="1:8">
      <c r="A120" t="s">
        <v>2248</v>
      </c>
      <c r="B120" t="s">
        <v>457</v>
      </c>
      <c r="C120" t="s">
        <v>2127</v>
      </c>
      <c r="D120" s="2">
        <v>46231</v>
      </c>
      <c r="E120" s="2">
        <v>46235</v>
      </c>
      <c r="F120">
        <f t="shared" si="1"/>
        <v>5</v>
      </c>
      <c r="G120" t="s">
        <v>2120</v>
      </c>
      <c r="H120" t="s">
        <v>2132</v>
      </c>
    </row>
    <row r="121" spans="1:8">
      <c r="A121" t="s">
        <v>2249</v>
      </c>
      <c r="B121" t="s">
        <v>460</v>
      </c>
      <c r="C121" t="s">
        <v>2131</v>
      </c>
      <c r="D121" s="2">
        <v>46174</v>
      </c>
      <c r="E121" s="2">
        <v>46174</v>
      </c>
      <c r="F121">
        <f t="shared" si="1"/>
        <v>1</v>
      </c>
      <c r="G121" t="s">
        <v>2128</v>
      </c>
      <c r="H121" t="s">
        <v>2134</v>
      </c>
    </row>
    <row r="122" spans="1:8">
      <c r="A122" t="s">
        <v>2250</v>
      </c>
      <c r="B122" t="s">
        <v>463</v>
      </c>
      <c r="C122" t="s">
        <v>2119</v>
      </c>
      <c r="D122" s="2">
        <v>46177</v>
      </c>
      <c r="E122" s="2">
        <v>46178</v>
      </c>
      <c r="F122">
        <f t="shared" si="1"/>
        <v>2</v>
      </c>
      <c r="G122" t="s">
        <v>2120</v>
      </c>
      <c r="H122" t="s">
        <v>2121</v>
      </c>
    </row>
    <row r="123" spans="1:8">
      <c r="A123" t="s">
        <v>2251</v>
      </c>
      <c r="B123" t="s">
        <v>466</v>
      </c>
      <c r="C123" t="s">
        <v>2123</v>
      </c>
      <c r="D123" s="2">
        <v>46180</v>
      </c>
      <c r="E123" s="2">
        <v>46182</v>
      </c>
      <c r="F123">
        <f t="shared" si="1"/>
        <v>3</v>
      </c>
      <c r="G123" t="s">
        <v>2124</v>
      </c>
      <c r="H123" t="s">
        <v>2125</v>
      </c>
    </row>
    <row r="124" spans="1:8">
      <c r="A124" t="s">
        <v>2252</v>
      </c>
      <c r="B124" t="s">
        <v>469</v>
      </c>
      <c r="C124" t="s">
        <v>2127</v>
      </c>
      <c r="D124" s="2">
        <v>46183</v>
      </c>
      <c r="E124" s="2">
        <v>46186</v>
      </c>
      <c r="F124">
        <f t="shared" si="1"/>
        <v>4</v>
      </c>
      <c r="G124" t="s">
        <v>2128</v>
      </c>
      <c r="H124" t="s">
        <v>2129</v>
      </c>
    </row>
    <row r="125" spans="1:8">
      <c r="A125" t="s">
        <v>2253</v>
      </c>
      <c r="B125" t="s">
        <v>472</v>
      </c>
      <c r="C125" t="s">
        <v>2131</v>
      </c>
      <c r="D125" s="2">
        <v>46186</v>
      </c>
      <c r="E125" s="2">
        <v>46190</v>
      </c>
      <c r="F125">
        <f t="shared" si="1"/>
        <v>5</v>
      </c>
      <c r="G125" t="s">
        <v>2120</v>
      </c>
      <c r="H125" t="s">
        <v>2132</v>
      </c>
    </row>
    <row r="126" spans="1:8">
      <c r="A126" t="s">
        <v>2254</v>
      </c>
      <c r="B126" t="s">
        <v>475</v>
      </c>
      <c r="C126" t="s">
        <v>2119</v>
      </c>
      <c r="D126" s="2">
        <v>46189</v>
      </c>
      <c r="E126" s="2">
        <v>46189</v>
      </c>
      <c r="F126">
        <f t="shared" si="1"/>
        <v>1</v>
      </c>
      <c r="G126" t="s">
        <v>2128</v>
      </c>
      <c r="H126" t="s">
        <v>2134</v>
      </c>
    </row>
    <row r="127" spans="1:8">
      <c r="A127" t="s">
        <v>2255</v>
      </c>
      <c r="B127" t="s">
        <v>478</v>
      </c>
      <c r="C127" t="s">
        <v>2123</v>
      </c>
      <c r="D127" s="2">
        <v>46192</v>
      </c>
      <c r="E127" s="2">
        <v>46193</v>
      </c>
      <c r="F127">
        <f t="shared" si="1"/>
        <v>2</v>
      </c>
      <c r="G127" t="s">
        <v>2120</v>
      </c>
      <c r="H127" t="s">
        <v>2121</v>
      </c>
    </row>
    <row r="128" spans="1:8">
      <c r="A128" t="s">
        <v>2256</v>
      </c>
      <c r="B128" t="s">
        <v>481</v>
      </c>
      <c r="C128" t="s">
        <v>2127</v>
      </c>
      <c r="D128" s="2">
        <v>46195</v>
      </c>
      <c r="E128" s="2">
        <v>46197</v>
      </c>
      <c r="F128">
        <f t="shared" si="1"/>
        <v>3</v>
      </c>
      <c r="G128" t="s">
        <v>2124</v>
      </c>
      <c r="H128" t="s">
        <v>2125</v>
      </c>
    </row>
    <row r="129" spans="1:8">
      <c r="A129" t="s">
        <v>2257</v>
      </c>
      <c r="B129" t="s">
        <v>484</v>
      </c>
      <c r="C129" t="s">
        <v>2131</v>
      </c>
      <c r="D129" s="2">
        <v>46198</v>
      </c>
      <c r="E129" s="2">
        <v>46201</v>
      </c>
      <c r="F129">
        <f t="shared" si="1"/>
        <v>4</v>
      </c>
      <c r="G129" t="s">
        <v>2128</v>
      </c>
      <c r="H129" t="s">
        <v>2129</v>
      </c>
    </row>
    <row r="130" spans="1:8">
      <c r="A130" t="s">
        <v>2258</v>
      </c>
      <c r="B130" t="s">
        <v>487</v>
      </c>
      <c r="C130" t="s">
        <v>2119</v>
      </c>
      <c r="D130" s="2">
        <v>46201</v>
      </c>
      <c r="E130" s="2">
        <v>46205</v>
      </c>
      <c r="F130">
        <f t="shared" ref="F130:F193" si="2">E130-D130+1</f>
        <v>5</v>
      </c>
      <c r="G130" t="s">
        <v>2120</v>
      </c>
      <c r="H130" t="s">
        <v>2132</v>
      </c>
    </row>
    <row r="131" spans="1:8">
      <c r="A131" t="s">
        <v>2259</v>
      </c>
      <c r="B131" t="s">
        <v>490</v>
      </c>
      <c r="C131" t="s">
        <v>2123</v>
      </c>
      <c r="D131" s="2">
        <v>46204</v>
      </c>
      <c r="E131" s="2">
        <v>46204</v>
      </c>
      <c r="F131">
        <f t="shared" si="2"/>
        <v>1</v>
      </c>
      <c r="G131" t="s">
        <v>2128</v>
      </c>
      <c r="H131" t="s">
        <v>2134</v>
      </c>
    </row>
    <row r="132" spans="1:8">
      <c r="A132" t="s">
        <v>2260</v>
      </c>
      <c r="B132" t="s">
        <v>493</v>
      </c>
      <c r="C132" t="s">
        <v>2127</v>
      </c>
      <c r="D132" s="2">
        <v>46207</v>
      </c>
      <c r="E132" s="2">
        <v>46208</v>
      </c>
      <c r="F132">
        <f t="shared" si="2"/>
        <v>2</v>
      </c>
      <c r="G132" t="s">
        <v>2120</v>
      </c>
      <c r="H132" t="s">
        <v>2121</v>
      </c>
    </row>
    <row r="133" spans="1:8">
      <c r="A133" t="s">
        <v>2261</v>
      </c>
      <c r="B133" t="s">
        <v>496</v>
      </c>
      <c r="C133" t="s">
        <v>2131</v>
      </c>
      <c r="D133" s="2">
        <v>46210</v>
      </c>
      <c r="E133" s="2">
        <v>46212</v>
      </c>
      <c r="F133">
        <f t="shared" si="2"/>
        <v>3</v>
      </c>
      <c r="G133" t="s">
        <v>2124</v>
      </c>
      <c r="H133" t="s">
        <v>2125</v>
      </c>
    </row>
    <row r="134" spans="1:8">
      <c r="A134" t="s">
        <v>2262</v>
      </c>
      <c r="B134" t="s">
        <v>499</v>
      </c>
      <c r="C134" t="s">
        <v>2119</v>
      </c>
      <c r="D134" s="2">
        <v>46213</v>
      </c>
      <c r="E134" s="2">
        <v>46216</v>
      </c>
      <c r="F134">
        <f t="shared" si="2"/>
        <v>4</v>
      </c>
      <c r="G134" t="s">
        <v>2128</v>
      </c>
      <c r="H134" t="s">
        <v>2129</v>
      </c>
    </row>
    <row r="135" spans="1:8">
      <c r="A135" t="s">
        <v>2263</v>
      </c>
      <c r="B135" t="s">
        <v>502</v>
      </c>
      <c r="C135" t="s">
        <v>2123</v>
      </c>
      <c r="D135" s="2">
        <v>46216</v>
      </c>
      <c r="E135" s="2">
        <v>46220</v>
      </c>
      <c r="F135">
        <f t="shared" si="2"/>
        <v>5</v>
      </c>
      <c r="G135" t="s">
        <v>2120</v>
      </c>
      <c r="H135" t="s">
        <v>2132</v>
      </c>
    </row>
    <row r="136" spans="1:8">
      <c r="A136" t="s">
        <v>2264</v>
      </c>
      <c r="B136" t="s">
        <v>505</v>
      </c>
      <c r="C136" t="s">
        <v>2127</v>
      </c>
      <c r="D136" s="2">
        <v>46219</v>
      </c>
      <c r="E136" s="2">
        <v>46219</v>
      </c>
      <c r="F136">
        <f t="shared" si="2"/>
        <v>1</v>
      </c>
      <c r="G136" t="s">
        <v>2128</v>
      </c>
      <c r="H136" t="s">
        <v>2134</v>
      </c>
    </row>
    <row r="137" spans="1:8">
      <c r="A137" t="s">
        <v>2265</v>
      </c>
      <c r="B137" t="s">
        <v>508</v>
      </c>
      <c r="C137" t="s">
        <v>2131</v>
      </c>
      <c r="D137" s="2">
        <v>46222</v>
      </c>
      <c r="E137" s="2">
        <v>46223</v>
      </c>
      <c r="F137">
        <f t="shared" si="2"/>
        <v>2</v>
      </c>
      <c r="G137" t="s">
        <v>2120</v>
      </c>
      <c r="H137" t="s">
        <v>2121</v>
      </c>
    </row>
    <row r="138" spans="1:8">
      <c r="A138" t="s">
        <v>2266</v>
      </c>
      <c r="B138" t="s">
        <v>511</v>
      </c>
      <c r="C138" t="s">
        <v>2119</v>
      </c>
      <c r="D138" s="2">
        <v>46225</v>
      </c>
      <c r="E138" s="2">
        <v>46227</v>
      </c>
      <c r="F138">
        <f t="shared" si="2"/>
        <v>3</v>
      </c>
      <c r="G138" t="s">
        <v>2124</v>
      </c>
      <c r="H138" t="s">
        <v>2125</v>
      </c>
    </row>
    <row r="139" spans="1:8">
      <c r="A139" t="s">
        <v>2267</v>
      </c>
      <c r="B139" t="s">
        <v>514</v>
      </c>
      <c r="C139" t="s">
        <v>2123</v>
      </c>
      <c r="D139" s="2">
        <v>46228</v>
      </c>
      <c r="E139" s="2">
        <v>46231</v>
      </c>
      <c r="F139">
        <f t="shared" si="2"/>
        <v>4</v>
      </c>
      <c r="G139" t="s">
        <v>2128</v>
      </c>
      <c r="H139" t="s">
        <v>2129</v>
      </c>
    </row>
    <row r="140" spans="1:8">
      <c r="A140" t="s">
        <v>2268</v>
      </c>
      <c r="B140" t="s">
        <v>517</v>
      </c>
      <c r="C140" t="s">
        <v>2127</v>
      </c>
      <c r="D140" s="2">
        <v>46231</v>
      </c>
      <c r="E140" s="2">
        <v>46235</v>
      </c>
      <c r="F140">
        <f t="shared" si="2"/>
        <v>5</v>
      </c>
      <c r="G140" t="s">
        <v>2120</v>
      </c>
      <c r="H140" t="s">
        <v>2132</v>
      </c>
    </row>
    <row r="141" spans="1:8">
      <c r="A141" t="s">
        <v>2269</v>
      </c>
      <c r="B141" t="s">
        <v>520</v>
      </c>
      <c r="C141" t="s">
        <v>2131</v>
      </c>
      <c r="D141" s="2">
        <v>46174</v>
      </c>
      <c r="E141" s="2">
        <v>46174</v>
      </c>
      <c r="F141">
        <f t="shared" si="2"/>
        <v>1</v>
      </c>
      <c r="G141" t="s">
        <v>2128</v>
      </c>
      <c r="H141" t="s">
        <v>2134</v>
      </c>
    </row>
    <row r="142" spans="1:8">
      <c r="A142" t="s">
        <v>2270</v>
      </c>
      <c r="B142" t="s">
        <v>523</v>
      </c>
      <c r="C142" t="s">
        <v>2119</v>
      </c>
      <c r="D142" s="2">
        <v>46177</v>
      </c>
      <c r="E142" s="2">
        <v>46178</v>
      </c>
      <c r="F142">
        <f t="shared" si="2"/>
        <v>2</v>
      </c>
      <c r="G142" t="s">
        <v>2120</v>
      </c>
      <c r="H142" t="s">
        <v>2121</v>
      </c>
    </row>
    <row r="143" spans="1:8">
      <c r="A143" t="s">
        <v>2271</v>
      </c>
      <c r="B143" t="s">
        <v>526</v>
      </c>
      <c r="C143" t="s">
        <v>2123</v>
      </c>
      <c r="D143" s="2">
        <v>46180</v>
      </c>
      <c r="E143" s="2">
        <v>46182</v>
      </c>
      <c r="F143">
        <f t="shared" si="2"/>
        <v>3</v>
      </c>
      <c r="G143" t="s">
        <v>2124</v>
      </c>
      <c r="H143" t="s">
        <v>2125</v>
      </c>
    </row>
    <row r="144" spans="1:8">
      <c r="A144" t="s">
        <v>2272</v>
      </c>
      <c r="B144" t="s">
        <v>529</v>
      </c>
      <c r="C144" t="s">
        <v>2127</v>
      </c>
      <c r="D144" s="2">
        <v>46183</v>
      </c>
      <c r="E144" s="2">
        <v>46186</v>
      </c>
      <c r="F144">
        <f t="shared" si="2"/>
        <v>4</v>
      </c>
      <c r="G144" t="s">
        <v>2128</v>
      </c>
      <c r="H144" t="s">
        <v>2129</v>
      </c>
    </row>
    <row r="145" spans="1:8">
      <c r="A145" t="s">
        <v>2273</v>
      </c>
      <c r="B145" t="s">
        <v>532</v>
      </c>
      <c r="C145" t="s">
        <v>2131</v>
      </c>
      <c r="D145" s="2">
        <v>46186</v>
      </c>
      <c r="E145" s="2">
        <v>46190</v>
      </c>
      <c r="F145">
        <f t="shared" si="2"/>
        <v>5</v>
      </c>
      <c r="G145" t="s">
        <v>2120</v>
      </c>
      <c r="H145" t="s">
        <v>2132</v>
      </c>
    </row>
    <row r="146" spans="1:8">
      <c r="A146" t="s">
        <v>2274</v>
      </c>
      <c r="B146" t="s">
        <v>535</v>
      </c>
      <c r="C146" t="s">
        <v>2119</v>
      </c>
      <c r="D146" s="2">
        <v>46189</v>
      </c>
      <c r="E146" s="2">
        <v>46189</v>
      </c>
      <c r="F146">
        <f t="shared" si="2"/>
        <v>1</v>
      </c>
      <c r="G146" t="s">
        <v>2128</v>
      </c>
      <c r="H146" t="s">
        <v>2134</v>
      </c>
    </row>
    <row r="147" spans="1:8">
      <c r="A147" t="s">
        <v>2275</v>
      </c>
      <c r="B147" t="s">
        <v>538</v>
      </c>
      <c r="C147" t="s">
        <v>2123</v>
      </c>
      <c r="D147" s="2">
        <v>46192</v>
      </c>
      <c r="E147" s="2">
        <v>46193</v>
      </c>
      <c r="F147">
        <f t="shared" si="2"/>
        <v>2</v>
      </c>
      <c r="G147" t="s">
        <v>2120</v>
      </c>
      <c r="H147" t="s">
        <v>2121</v>
      </c>
    </row>
    <row r="148" spans="1:8">
      <c r="A148" t="s">
        <v>2276</v>
      </c>
      <c r="B148" t="s">
        <v>541</v>
      </c>
      <c r="C148" t="s">
        <v>2127</v>
      </c>
      <c r="D148" s="2">
        <v>46195</v>
      </c>
      <c r="E148" s="2">
        <v>46197</v>
      </c>
      <c r="F148">
        <f t="shared" si="2"/>
        <v>3</v>
      </c>
      <c r="G148" t="s">
        <v>2124</v>
      </c>
      <c r="H148" t="s">
        <v>2125</v>
      </c>
    </row>
    <row r="149" spans="1:8">
      <c r="A149" t="s">
        <v>2277</v>
      </c>
      <c r="B149" t="s">
        <v>544</v>
      </c>
      <c r="C149" t="s">
        <v>2131</v>
      </c>
      <c r="D149" s="2">
        <v>46198</v>
      </c>
      <c r="E149" s="2">
        <v>46201</v>
      </c>
      <c r="F149">
        <f t="shared" si="2"/>
        <v>4</v>
      </c>
      <c r="G149" t="s">
        <v>2128</v>
      </c>
      <c r="H149" t="s">
        <v>2129</v>
      </c>
    </row>
    <row r="150" spans="1:8">
      <c r="A150" t="s">
        <v>2278</v>
      </c>
      <c r="B150" t="s">
        <v>547</v>
      </c>
      <c r="C150" t="s">
        <v>2119</v>
      </c>
      <c r="D150" s="2">
        <v>46201</v>
      </c>
      <c r="E150" s="2">
        <v>46205</v>
      </c>
      <c r="F150">
        <f t="shared" si="2"/>
        <v>5</v>
      </c>
      <c r="G150" t="s">
        <v>2120</v>
      </c>
      <c r="H150" t="s">
        <v>2132</v>
      </c>
    </row>
    <row r="151" spans="1:8">
      <c r="A151" t="s">
        <v>2279</v>
      </c>
      <c r="B151" t="s">
        <v>550</v>
      </c>
      <c r="C151" t="s">
        <v>2123</v>
      </c>
      <c r="D151" s="2">
        <v>46204</v>
      </c>
      <c r="E151" s="2">
        <v>46204</v>
      </c>
      <c r="F151">
        <f t="shared" si="2"/>
        <v>1</v>
      </c>
      <c r="G151" t="s">
        <v>2128</v>
      </c>
      <c r="H151" t="s">
        <v>2134</v>
      </c>
    </row>
    <row r="152" spans="1:8">
      <c r="A152" t="s">
        <v>2280</v>
      </c>
      <c r="B152" t="s">
        <v>553</v>
      </c>
      <c r="C152" t="s">
        <v>2127</v>
      </c>
      <c r="D152" s="2">
        <v>46207</v>
      </c>
      <c r="E152" s="2">
        <v>46208</v>
      </c>
      <c r="F152">
        <f t="shared" si="2"/>
        <v>2</v>
      </c>
      <c r="G152" t="s">
        <v>2120</v>
      </c>
      <c r="H152" t="s">
        <v>2121</v>
      </c>
    </row>
    <row r="153" spans="1:8">
      <c r="A153" t="s">
        <v>2281</v>
      </c>
      <c r="B153" t="s">
        <v>556</v>
      </c>
      <c r="C153" t="s">
        <v>2131</v>
      </c>
      <c r="D153" s="2">
        <v>46210</v>
      </c>
      <c r="E153" s="2">
        <v>46212</v>
      </c>
      <c r="F153">
        <f t="shared" si="2"/>
        <v>3</v>
      </c>
      <c r="G153" t="s">
        <v>2124</v>
      </c>
      <c r="H153" t="s">
        <v>2125</v>
      </c>
    </row>
    <row r="154" spans="1:8">
      <c r="A154" t="s">
        <v>2282</v>
      </c>
      <c r="B154" t="s">
        <v>559</v>
      </c>
      <c r="C154" t="s">
        <v>2119</v>
      </c>
      <c r="D154" s="2">
        <v>46213</v>
      </c>
      <c r="E154" s="2">
        <v>46216</v>
      </c>
      <c r="F154">
        <f t="shared" si="2"/>
        <v>4</v>
      </c>
      <c r="G154" t="s">
        <v>2128</v>
      </c>
      <c r="H154" t="s">
        <v>2129</v>
      </c>
    </row>
    <row r="155" spans="1:8">
      <c r="A155" t="s">
        <v>2283</v>
      </c>
      <c r="B155" t="s">
        <v>562</v>
      </c>
      <c r="C155" t="s">
        <v>2123</v>
      </c>
      <c r="D155" s="2">
        <v>46216</v>
      </c>
      <c r="E155" s="2">
        <v>46220</v>
      </c>
      <c r="F155">
        <f t="shared" si="2"/>
        <v>5</v>
      </c>
      <c r="G155" t="s">
        <v>2120</v>
      </c>
      <c r="H155" t="s">
        <v>2132</v>
      </c>
    </row>
    <row r="156" spans="1:8">
      <c r="A156" t="s">
        <v>2284</v>
      </c>
      <c r="B156" t="s">
        <v>565</v>
      </c>
      <c r="C156" t="s">
        <v>2127</v>
      </c>
      <c r="D156" s="2">
        <v>46219</v>
      </c>
      <c r="E156" s="2">
        <v>46219</v>
      </c>
      <c r="F156">
        <f t="shared" si="2"/>
        <v>1</v>
      </c>
      <c r="G156" t="s">
        <v>2128</v>
      </c>
      <c r="H156" t="s">
        <v>2134</v>
      </c>
    </row>
    <row r="157" spans="1:8">
      <c r="A157" t="s">
        <v>2285</v>
      </c>
      <c r="B157" t="s">
        <v>568</v>
      </c>
      <c r="C157" t="s">
        <v>2131</v>
      </c>
      <c r="D157" s="2">
        <v>46222</v>
      </c>
      <c r="E157" s="2">
        <v>46223</v>
      </c>
      <c r="F157">
        <f t="shared" si="2"/>
        <v>2</v>
      </c>
      <c r="G157" t="s">
        <v>2120</v>
      </c>
      <c r="H157" t="s">
        <v>2121</v>
      </c>
    </row>
    <row r="158" spans="1:8">
      <c r="A158" t="s">
        <v>2286</v>
      </c>
      <c r="B158" t="s">
        <v>571</v>
      </c>
      <c r="C158" t="s">
        <v>2119</v>
      </c>
      <c r="D158" s="2">
        <v>46225</v>
      </c>
      <c r="E158" s="2">
        <v>46227</v>
      </c>
      <c r="F158">
        <f t="shared" si="2"/>
        <v>3</v>
      </c>
      <c r="G158" t="s">
        <v>2124</v>
      </c>
      <c r="H158" t="s">
        <v>2125</v>
      </c>
    </row>
    <row r="159" spans="1:8">
      <c r="A159" t="s">
        <v>2287</v>
      </c>
      <c r="B159" t="s">
        <v>574</v>
      </c>
      <c r="C159" t="s">
        <v>2123</v>
      </c>
      <c r="D159" s="2">
        <v>46228</v>
      </c>
      <c r="E159" s="2">
        <v>46231</v>
      </c>
      <c r="F159">
        <f t="shared" si="2"/>
        <v>4</v>
      </c>
      <c r="G159" t="s">
        <v>2128</v>
      </c>
      <c r="H159" t="s">
        <v>2129</v>
      </c>
    </row>
    <row r="160" spans="1:8">
      <c r="A160" t="s">
        <v>2288</v>
      </c>
      <c r="B160" t="s">
        <v>577</v>
      </c>
      <c r="C160" t="s">
        <v>2127</v>
      </c>
      <c r="D160" s="2">
        <v>46231</v>
      </c>
      <c r="E160" s="2">
        <v>46235</v>
      </c>
      <c r="F160">
        <f t="shared" si="2"/>
        <v>5</v>
      </c>
      <c r="G160" t="s">
        <v>2120</v>
      </c>
      <c r="H160" t="s">
        <v>2132</v>
      </c>
    </row>
    <row r="161" spans="1:8">
      <c r="A161" t="s">
        <v>2289</v>
      </c>
      <c r="B161" t="s">
        <v>580</v>
      </c>
      <c r="C161" t="s">
        <v>2131</v>
      </c>
      <c r="D161" s="2">
        <v>46174</v>
      </c>
      <c r="E161" s="2">
        <v>46174</v>
      </c>
      <c r="F161">
        <f t="shared" si="2"/>
        <v>1</v>
      </c>
      <c r="G161" t="s">
        <v>2128</v>
      </c>
      <c r="H161" t="s">
        <v>2134</v>
      </c>
    </row>
    <row r="162" spans="1:8">
      <c r="A162" t="s">
        <v>2290</v>
      </c>
      <c r="B162" t="s">
        <v>583</v>
      </c>
      <c r="C162" t="s">
        <v>2119</v>
      </c>
      <c r="D162" s="2">
        <v>46177</v>
      </c>
      <c r="E162" s="2">
        <v>46178</v>
      </c>
      <c r="F162">
        <f t="shared" si="2"/>
        <v>2</v>
      </c>
      <c r="G162" t="s">
        <v>2120</v>
      </c>
      <c r="H162" t="s">
        <v>2121</v>
      </c>
    </row>
    <row r="163" spans="1:8">
      <c r="A163" t="s">
        <v>2291</v>
      </c>
      <c r="B163" t="s">
        <v>586</v>
      </c>
      <c r="C163" t="s">
        <v>2123</v>
      </c>
      <c r="D163" s="2">
        <v>46180</v>
      </c>
      <c r="E163" s="2">
        <v>46182</v>
      </c>
      <c r="F163">
        <f t="shared" si="2"/>
        <v>3</v>
      </c>
      <c r="G163" t="s">
        <v>2124</v>
      </c>
      <c r="H163" t="s">
        <v>2125</v>
      </c>
    </row>
    <row r="164" spans="1:8">
      <c r="A164" t="s">
        <v>2292</v>
      </c>
      <c r="B164" t="s">
        <v>589</v>
      </c>
      <c r="C164" t="s">
        <v>2127</v>
      </c>
      <c r="D164" s="2">
        <v>46183</v>
      </c>
      <c r="E164" s="2">
        <v>46186</v>
      </c>
      <c r="F164">
        <f t="shared" si="2"/>
        <v>4</v>
      </c>
      <c r="G164" t="s">
        <v>2128</v>
      </c>
      <c r="H164" t="s">
        <v>2129</v>
      </c>
    </row>
    <row r="165" spans="1:8">
      <c r="A165" t="s">
        <v>2293</v>
      </c>
      <c r="B165" t="s">
        <v>592</v>
      </c>
      <c r="C165" t="s">
        <v>2131</v>
      </c>
      <c r="D165" s="2">
        <v>46186</v>
      </c>
      <c r="E165" s="2">
        <v>46190</v>
      </c>
      <c r="F165">
        <f t="shared" si="2"/>
        <v>5</v>
      </c>
      <c r="G165" t="s">
        <v>2120</v>
      </c>
      <c r="H165" t="s">
        <v>2132</v>
      </c>
    </row>
    <row r="166" spans="1:8">
      <c r="A166" t="s">
        <v>2294</v>
      </c>
      <c r="B166" t="s">
        <v>595</v>
      </c>
      <c r="C166" t="s">
        <v>2119</v>
      </c>
      <c r="D166" s="2">
        <v>46189</v>
      </c>
      <c r="E166" s="2">
        <v>46189</v>
      </c>
      <c r="F166">
        <f t="shared" si="2"/>
        <v>1</v>
      </c>
      <c r="G166" t="s">
        <v>2128</v>
      </c>
      <c r="H166" t="s">
        <v>2134</v>
      </c>
    </row>
    <row r="167" spans="1:8">
      <c r="A167" t="s">
        <v>2295</v>
      </c>
      <c r="B167" t="s">
        <v>598</v>
      </c>
      <c r="C167" t="s">
        <v>2123</v>
      </c>
      <c r="D167" s="2">
        <v>46192</v>
      </c>
      <c r="E167" s="2">
        <v>46193</v>
      </c>
      <c r="F167">
        <f t="shared" si="2"/>
        <v>2</v>
      </c>
      <c r="G167" t="s">
        <v>2120</v>
      </c>
      <c r="H167" t="s">
        <v>2121</v>
      </c>
    </row>
    <row r="168" spans="1:8">
      <c r="A168" t="s">
        <v>2296</v>
      </c>
      <c r="B168" t="s">
        <v>601</v>
      </c>
      <c r="C168" t="s">
        <v>2127</v>
      </c>
      <c r="D168" s="2">
        <v>46195</v>
      </c>
      <c r="E168" s="2">
        <v>46197</v>
      </c>
      <c r="F168">
        <f t="shared" si="2"/>
        <v>3</v>
      </c>
      <c r="G168" t="s">
        <v>2124</v>
      </c>
      <c r="H168" t="s">
        <v>2125</v>
      </c>
    </row>
    <row r="169" spans="1:8">
      <c r="A169" t="s">
        <v>2297</v>
      </c>
      <c r="B169" t="s">
        <v>604</v>
      </c>
      <c r="C169" t="s">
        <v>2131</v>
      </c>
      <c r="D169" s="2">
        <v>46198</v>
      </c>
      <c r="E169" s="2">
        <v>46201</v>
      </c>
      <c r="F169">
        <f t="shared" si="2"/>
        <v>4</v>
      </c>
      <c r="G169" t="s">
        <v>2128</v>
      </c>
      <c r="H169" t="s">
        <v>2129</v>
      </c>
    </row>
    <row r="170" spans="1:8">
      <c r="A170" t="s">
        <v>2298</v>
      </c>
      <c r="B170" t="s">
        <v>607</v>
      </c>
      <c r="C170" t="s">
        <v>2119</v>
      </c>
      <c r="D170" s="2">
        <v>46201</v>
      </c>
      <c r="E170" s="2">
        <v>46205</v>
      </c>
      <c r="F170">
        <f t="shared" si="2"/>
        <v>5</v>
      </c>
      <c r="G170" t="s">
        <v>2120</v>
      </c>
      <c r="H170" t="s">
        <v>2132</v>
      </c>
    </row>
    <row r="171" spans="1:8">
      <c r="A171" t="s">
        <v>2299</v>
      </c>
      <c r="B171" t="s">
        <v>610</v>
      </c>
      <c r="C171" t="s">
        <v>2123</v>
      </c>
      <c r="D171" s="2">
        <v>46204</v>
      </c>
      <c r="E171" s="2">
        <v>46204</v>
      </c>
      <c r="F171">
        <f t="shared" si="2"/>
        <v>1</v>
      </c>
      <c r="G171" t="s">
        <v>2128</v>
      </c>
      <c r="H171" t="s">
        <v>2134</v>
      </c>
    </row>
    <row r="172" spans="1:8">
      <c r="A172" t="s">
        <v>2300</v>
      </c>
      <c r="B172" t="s">
        <v>613</v>
      </c>
      <c r="C172" t="s">
        <v>2127</v>
      </c>
      <c r="D172" s="2">
        <v>46207</v>
      </c>
      <c r="E172" s="2">
        <v>46208</v>
      </c>
      <c r="F172">
        <f t="shared" si="2"/>
        <v>2</v>
      </c>
      <c r="G172" t="s">
        <v>2120</v>
      </c>
      <c r="H172" t="s">
        <v>2121</v>
      </c>
    </row>
    <row r="173" spans="1:8">
      <c r="A173" t="s">
        <v>2301</v>
      </c>
      <c r="B173" t="s">
        <v>616</v>
      </c>
      <c r="C173" t="s">
        <v>2131</v>
      </c>
      <c r="D173" s="2">
        <v>46210</v>
      </c>
      <c r="E173" s="2">
        <v>46212</v>
      </c>
      <c r="F173">
        <f t="shared" si="2"/>
        <v>3</v>
      </c>
      <c r="G173" t="s">
        <v>2124</v>
      </c>
      <c r="H173" t="s">
        <v>2125</v>
      </c>
    </row>
    <row r="174" spans="1:8">
      <c r="A174" t="s">
        <v>2302</v>
      </c>
      <c r="B174" t="s">
        <v>619</v>
      </c>
      <c r="C174" t="s">
        <v>2119</v>
      </c>
      <c r="D174" s="2">
        <v>46213</v>
      </c>
      <c r="E174" s="2">
        <v>46216</v>
      </c>
      <c r="F174">
        <f t="shared" si="2"/>
        <v>4</v>
      </c>
      <c r="G174" t="s">
        <v>2128</v>
      </c>
      <c r="H174" t="s">
        <v>2129</v>
      </c>
    </row>
    <row r="175" spans="1:8">
      <c r="A175" t="s">
        <v>2303</v>
      </c>
      <c r="B175" t="s">
        <v>622</v>
      </c>
      <c r="C175" t="s">
        <v>2123</v>
      </c>
      <c r="D175" s="2">
        <v>46216</v>
      </c>
      <c r="E175" s="2">
        <v>46220</v>
      </c>
      <c r="F175">
        <f t="shared" si="2"/>
        <v>5</v>
      </c>
      <c r="G175" t="s">
        <v>2120</v>
      </c>
      <c r="H175" t="s">
        <v>2132</v>
      </c>
    </row>
    <row r="176" spans="1:8">
      <c r="A176" t="s">
        <v>2304</v>
      </c>
      <c r="B176" t="s">
        <v>625</v>
      </c>
      <c r="C176" t="s">
        <v>2127</v>
      </c>
      <c r="D176" s="2">
        <v>46219</v>
      </c>
      <c r="E176" s="2">
        <v>46219</v>
      </c>
      <c r="F176">
        <f t="shared" si="2"/>
        <v>1</v>
      </c>
      <c r="G176" t="s">
        <v>2128</v>
      </c>
      <c r="H176" t="s">
        <v>2134</v>
      </c>
    </row>
    <row r="177" spans="1:8">
      <c r="A177" t="s">
        <v>2305</v>
      </c>
      <c r="B177" t="s">
        <v>628</v>
      </c>
      <c r="C177" t="s">
        <v>2131</v>
      </c>
      <c r="D177" s="2">
        <v>46222</v>
      </c>
      <c r="E177" s="2">
        <v>46223</v>
      </c>
      <c r="F177">
        <f t="shared" si="2"/>
        <v>2</v>
      </c>
      <c r="G177" t="s">
        <v>2120</v>
      </c>
      <c r="H177" t="s">
        <v>2121</v>
      </c>
    </row>
    <row r="178" spans="1:8">
      <c r="A178" t="s">
        <v>2306</v>
      </c>
      <c r="B178" t="s">
        <v>631</v>
      </c>
      <c r="C178" t="s">
        <v>2119</v>
      </c>
      <c r="D178" s="2">
        <v>46225</v>
      </c>
      <c r="E178" s="2">
        <v>46227</v>
      </c>
      <c r="F178">
        <f t="shared" si="2"/>
        <v>3</v>
      </c>
      <c r="G178" t="s">
        <v>2124</v>
      </c>
      <c r="H178" t="s">
        <v>2125</v>
      </c>
    </row>
    <row r="179" spans="1:8">
      <c r="A179" t="s">
        <v>2307</v>
      </c>
      <c r="B179" t="s">
        <v>634</v>
      </c>
      <c r="C179" t="s">
        <v>2123</v>
      </c>
      <c r="D179" s="2">
        <v>46228</v>
      </c>
      <c r="E179" s="2">
        <v>46231</v>
      </c>
      <c r="F179">
        <f t="shared" si="2"/>
        <v>4</v>
      </c>
      <c r="G179" t="s">
        <v>2128</v>
      </c>
      <c r="H179" t="s">
        <v>2129</v>
      </c>
    </row>
    <row r="180" spans="1:8">
      <c r="A180" t="s">
        <v>2308</v>
      </c>
      <c r="B180" t="s">
        <v>637</v>
      </c>
      <c r="C180" t="s">
        <v>2127</v>
      </c>
      <c r="D180" s="2">
        <v>46231</v>
      </c>
      <c r="E180" s="2">
        <v>46235</v>
      </c>
      <c r="F180">
        <f t="shared" si="2"/>
        <v>5</v>
      </c>
      <c r="G180" t="s">
        <v>2120</v>
      </c>
      <c r="H180" t="s">
        <v>2132</v>
      </c>
    </row>
    <row r="181" spans="1:8">
      <c r="A181" t="s">
        <v>2309</v>
      </c>
      <c r="B181" t="s">
        <v>640</v>
      </c>
      <c r="C181" t="s">
        <v>2131</v>
      </c>
      <c r="D181" s="2">
        <v>46174</v>
      </c>
      <c r="E181" s="2">
        <v>46174</v>
      </c>
      <c r="F181">
        <f t="shared" si="2"/>
        <v>1</v>
      </c>
      <c r="G181" t="s">
        <v>2128</v>
      </c>
      <c r="H181" t="s">
        <v>2134</v>
      </c>
    </row>
    <row r="182" spans="1:8">
      <c r="A182" t="s">
        <v>2310</v>
      </c>
      <c r="B182" t="s">
        <v>643</v>
      </c>
      <c r="C182" t="s">
        <v>2119</v>
      </c>
      <c r="D182" s="2">
        <v>46177</v>
      </c>
      <c r="E182" s="2">
        <v>46178</v>
      </c>
      <c r="F182">
        <f t="shared" si="2"/>
        <v>2</v>
      </c>
      <c r="G182" t="s">
        <v>2120</v>
      </c>
      <c r="H182" t="s">
        <v>2121</v>
      </c>
    </row>
    <row r="183" spans="1:8">
      <c r="A183" t="s">
        <v>2311</v>
      </c>
      <c r="B183" t="s">
        <v>646</v>
      </c>
      <c r="C183" t="s">
        <v>2123</v>
      </c>
      <c r="D183" s="2">
        <v>46180</v>
      </c>
      <c r="E183" s="2">
        <v>46182</v>
      </c>
      <c r="F183">
        <f t="shared" si="2"/>
        <v>3</v>
      </c>
      <c r="G183" t="s">
        <v>2124</v>
      </c>
      <c r="H183" t="s">
        <v>2125</v>
      </c>
    </row>
    <row r="184" spans="1:8">
      <c r="A184" t="s">
        <v>2312</v>
      </c>
      <c r="B184" t="s">
        <v>649</v>
      </c>
      <c r="C184" t="s">
        <v>2127</v>
      </c>
      <c r="D184" s="2">
        <v>46183</v>
      </c>
      <c r="E184" s="2">
        <v>46186</v>
      </c>
      <c r="F184">
        <f t="shared" si="2"/>
        <v>4</v>
      </c>
      <c r="G184" t="s">
        <v>2128</v>
      </c>
      <c r="H184" t="s">
        <v>2129</v>
      </c>
    </row>
    <row r="185" spans="1:8">
      <c r="A185" t="s">
        <v>2313</v>
      </c>
      <c r="B185" t="s">
        <v>652</v>
      </c>
      <c r="C185" t="s">
        <v>2131</v>
      </c>
      <c r="D185" s="2">
        <v>46186</v>
      </c>
      <c r="E185" s="2">
        <v>46190</v>
      </c>
      <c r="F185">
        <f t="shared" si="2"/>
        <v>5</v>
      </c>
      <c r="G185" t="s">
        <v>2120</v>
      </c>
      <c r="H185" t="s">
        <v>2132</v>
      </c>
    </row>
    <row r="186" spans="1:8">
      <c r="A186" t="s">
        <v>2314</v>
      </c>
      <c r="B186" t="s">
        <v>655</v>
      </c>
      <c r="C186" t="s">
        <v>2119</v>
      </c>
      <c r="D186" s="2">
        <v>46189</v>
      </c>
      <c r="E186" s="2">
        <v>46189</v>
      </c>
      <c r="F186">
        <f t="shared" si="2"/>
        <v>1</v>
      </c>
      <c r="G186" t="s">
        <v>2128</v>
      </c>
      <c r="H186" t="s">
        <v>2134</v>
      </c>
    </row>
    <row r="187" spans="1:8">
      <c r="A187" t="s">
        <v>2315</v>
      </c>
      <c r="B187" t="s">
        <v>658</v>
      </c>
      <c r="C187" t="s">
        <v>2123</v>
      </c>
      <c r="D187" s="2">
        <v>46192</v>
      </c>
      <c r="E187" s="2">
        <v>46193</v>
      </c>
      <c r="F187">
        <f t="shared" si="2"/>
        <v>2</v>
      </c>
      <c r="G187" t="s">
        <v>2120</v>
      </c>
      <c r="H187" t="s">
        <v>2121</v>
      </c>
    </row>
    <row r="188" spans="1:8">
      <c r="A188" t="s">
        <v>2316</v>
      </c>
      <c r="B188" t="s">
        <v>661</v>
      </c>
      <c r="C188" t="s">
        <v>2127</v>
      </c>
      <c r="D188" s="2">
        <v>46195</v>
      </c>
      <c r="E188" s="2">
        <v>46197</v>
      </c>
      <c r="F188">
        <f t="shared" si="2"/>
        <v>3</v>
      </c>
      <c r="G188" t="s">
        <v>2124</v>
      </c>
      <c r="H188" t="s">
        <v>2125</v>
      </c>
    </row>
    <row r="189" spans="1:8">
      <c r="A189" t="s">
        <v>2317</v>
      </c>
      <c r="B189" t="s">
        <v>664</v>
      </c>
      <c r="C189" t="s">
        <v>2131</v>
      </c>
      <c r="D189" s="2">
        <v>46198</v>
      </c>
      <c r="E189" s="2">
        <v>46201</v>
      </c>
      <c r="F189">
        <f t="shared" si="2"/>
        <v>4</v>
      </c>
      <c r="G189" t="s">
        <v>2128</v>
      </c>
      <c r="H189" t="s">
        <v>2129</v>
      </c>
    </row>
    <row r="190" spans="1:8">
      <c r="A190" t="s">
        <v>2318</v>
      </c>
      <c r="B190" t="s">
        <v>667</v>
      </c>
      <c r="C190" t="s">
        <v>2119</v>
      </c>
      <c r="D190" s="2">
        <v>46201</v>
      </c>
      <c r="E190" s="2">
        <v>46205</v>
      </c>
      <c r="F190">
        <f t="shared" si="2"/>
        <v>5</v>
      </c>
      <c r="G190" t="s">
        <v>2120</v>
      </c>
      <c r="H190" t="s">
        <v>2132</v>
      </c>
    </row>
    <row r="191" spans="1:8">
      <c r="A191" t="s">
        <v>2319</v>
      </c>
      <c r="B191" t="s">
        <v>670</v>
      </c>
      <c r="C191" t="s">
        <v>2123</v>
      </c>
      <c r="D191" s="2">
        <v>46204</v>
      </c>
      <c r="E191" s="2">
        <v>46204</v>
      </c>
      <c r="F191">
        <f t="shared" si="2"/>
        <v>1</v>
      </c>
      <c r="G191" t="s">
        <v>2128</v>
      </c>
      <c r="H191" t="s">
        <v>2134</v>
      </c>
    </row>
    <row r="192" spans="1:8">
      <c r="A192" t="s">
        <v>2320</v>
      </c>
      <c r="B192" t="s">
        <v>673</v>
      </c>
      <c r="C192" t="s">
        <v>2127</v>
      </c>
      <c r="D192" s="2">
        <v>46207</v>
      </c>
      <c r="E192" s="2">
        <v>46208</v>
      </c>
      <c r="F192">
        <f t="shared" si="2"/>
        <v>2</v>
      </c>
      <c r="G192" t="s">
        <v>2120</v>
      </c>
      <c r="H192" t="s">
        <v>2121</v>
      </c>
    </row>
    <row r="193" spans="1:8">
      <c r="A193" t="s">
        <v>2321</v>
      </c>
      <c r="B193" t="s">
        <v>676</v>
      </c>
      <c r="C193" t="s">
        <v>2131</v>
      </c>
      <c r="D193" s="2">
        <v>46210</v>
      </c>
      <c r="E193" s="2">
        <v>46212</v>
      </c>
      <c r="F193">
        <f t="shared" si="2"/>
        <v>3</v>
      </c>
      <c r="G193" t="s">
        <v>2124</v>
      </c>
      <c r="H193" t="s">
        <v>2125</v>
      </c>
    </row>
    <row r="194" spans="1:8">
      <c r="A194" t="s">
        <v>2322</v>
      </c>
      <c r="B194" t="s">
        <v>679</v>
      </c>
      <c r="C194" t="s">
        <v>2119</v>
      </c>
      <c r="D194" s="2">
        <v>46213</v>
      </c>
      <c r="E194" s="2">
        <v>46216</v>
      </c>
      <c r="F194">
        <f t="shared" ref="F194:F257" si="3">E194-D194+1</f>
        <v>4</v>
      </c>
      <c r="G194" t="s">
        <v>2128</v>
      </c>
      <c r="H194" t="s">
        <v>2129</v>
      </c>
    </row>
    <row r="195" spans="1:8">
      <c r="A195" t="s">
        <v>2323</v>
      </c>
      <c r="B195" t="s">
        <v>682</v>
      </c>
      <c r="C195" t="s">
        <v>2123</v>
      </c>
      <c r="D195" s="2">
        <v>46216</v>
      </c>
      <c r="E195" s="2">
        <v>46220</v>
      </c>
      <c r="F195">
        <f t="shared" si="3"/>
        <v>5</v>
      </c>
      <c r="G195" t="s">
        <v>2120</v>
      </c>
      <c r="H195" t="s">
        <v>2132</v>
      </c>
    </row>
    <row r="196" spans="1:8">
      <c r="A196" t="s">
        <v>2324</v>
      </c>
      <c r="B196" t="s">
        <v>685</v>
      </c>
      <c r="C196" t="s">
        <v>2127</v>
      </c>
      <c r="D196" s="2">
        <v>46219</v>
      </c>
      <c r="E196" s="2">
        <v>46219</v>
      </c>
      <c r="F196">
        <f t="shared" si="3"/>
        <v>1</v>
      </c>
      <c r="G196" t="s">
        <v>2128</v>
      </c>
      <c r="H196" t="s">
        <v>2134</v>
      </c>
    </row>
    <row r="197" spans="1:8">
      <c r="A197" t="s">
        <v>2325</v>
      </c>
      <c r="B197" t="s">
        <v>688</v>
      </c>
      <c r="C197" t="s">
        <v>2131</v>
      </c>
      <c r="D197" s="2">
        <v>46222</v>
      </c>
      <c r="E197" s="2">
        <v>46223</v>
      </c>
      <c r="F197">
        <f t="shared" si="3"/>
        <v>2</v>
      </c>
      <c r="G197" t="s">
        <v>2120</v>
      </c>
      <c r="H197" t="s">
        <v>2121</v>
      </c>
    </row>
    <row r="198" spans="1:8">
      <c r="A198" t="s">
        <v>2326</v>
      </c>
      <c r="B198" t="s">
        <v>691</v>
      </c>
      <c r="C198" t="s">
        <v>2119</v>
      </c>
      <c r="D198" s="2">
        <v>46225</v>
      </c>
      <c r="E198" s="2">
        <v>46227</v>
      </c>
      <c r="F198">
        <f t="shared" si="3"/>
        <v>3</v>
      </c>
      <c r="G198" t="s">
        <v>2124</v>
      </c>
      <c r="H198" t="s">
        <v>2125</v>
      </c>
    </row>
    <row r="199" spans="1:8">
      <c r="A199" t="s">
        <v>2327</v>
      </c>
      <c r="B199" t="s">
        <v>694</v>
      </c>
      <c r="C199" t="s">
        <v>2123</v>
      </c>
      <c r="D199" s="2">
        <v>46228</v>
      </c>
      <c r="E199" s="2">
        <v>46231</v>
      </c>
      <c r="F199">
        <f t="shared" si="3"/>
        <v>4</v>
      </c>
      <c r="G199" t="s">
        <v>2128</v>
      </c>
      <c r="H199" t="s">
        <v>2129</v>
      </c>
    </row>
    <row r="200" spans="1:8">
      <c r="A200" t="s">
        <v>2328</v>
      </c>
      <c r="B200" t="s">
        <v>697</v>
      </c>
      <c r="C200" t="s">
        <v>2127</v>
      </c>
      <c r="D200" s="2">
        <v>46231</v>
      </c>
      <c r="E200" s="2">
        <v>46235</v>
      </c>
      <c r="F200">
        <f t="shared" si="3"/>
        <v>5</v>
      </c>
      <c r="G200" t="s">
        <v>2120</v>
      </c>
      <c r="H200" t="s">
        <v>2132</v>
      </c>
    </row>
    <row r="201" spans="1:8">
      <c r="A201" t="s">
        <v>2329</v>
      </c>
      <c r="B201" t="s">
        <v>700</v>
      </c>
      <c r="C201" t="s">
        <v>2131</v>
      </c>
      <c r="D201" s="2">
        <v>46174</v>
      </c>
      <c r="E201" s="2">
        <v>46174</v>
      </c>
      <c r="F201">
        <f t="shared" si="3"/>
        <v>1</v>
      </c>
      <c r="G201" t="s">
        <v>2128</v>
      </c>
      <c r="H201" t="s">
        <v>2134</v>
      </c>
    </row>
    <row r="202" spans="1:8">
      <c r="A202" t="s">
        <v>2330</v>
      </c>
      <c r="B202" t="s">
        <v>703</v>
      </c>
      <c r="C202" t="s">
        <v>2119</v>
      </c>
      <c r="D202" s="2">
        <v>46177</v>
      </c>
      <c r="E202" s="2">
        <v>46178</v>
      </c>
      <c r="F202">
        <f t="shared" si="3"/>
        <v>2</v>
      </c>
      <c r="G202" t="s">
        <v>2120</v>
      </c>
      <c r="H202" t="s">
        <v>2121</v>
      </c>
    </row>
    <row r="203" spans="1:8">
      <c r="A203" t="s">
        <v>2331</v>
      </c>
      <c r="B203" t="s">
        <v>706</v>
      </c>
      <c r="C203" t="s">
        <v>2123</v>
      </c>
      <c r="D203" s="2">
        <v>46180</v>
      </c>
      <c r="E203" s="2">
        <v>46182</v>
      </c>
      <c r="F203">
        <f t="shared" si="3"/>
        <v>3</v>
      </c>
      <c r="G203" t="s">
        <v>2124</v>
      </c>
      <c r="H203" t="s">
        <v>2125</v>
      </c>
    </row>
    <row r="204" spans="1:8">
      <c r="A204" t="s">
        <v>2332</v>
      </c>
      <c r="B204" t="s">
        <v>709</v>
      </c>
      <c r="C204" t="s">
        <v>2127</v>
      </c>
      <c r="D204" s="2">
        <v>46183</v>
      </c>
      <c r="E204" s="2">
        <v>46186</v>
      </c>
      <c r="F204">
        <f t="shared" si="3"/>
        <v>4</v>
      </c>
      <c r="G204" t="s">
        <v>2128</v>
      </c>
      <c r="H204" t="s">
        <v>2129</v>
      </c>
    </row>
    <row r="205" spans="1:8">
      <c r="A205" t="s">
        <v>2333</v>
      </c>
      <c r="B205" t="s">
        <v>712</v>
      </c>
      <c r="C205" t="s">
        <v>2131</v>
      </c>
      <c r="D205" s="2">
        <v>46186</v>
      </c>
      <c r="E205" s="2">
        <v>46190</v>
      </c>
      <c r="F205">
        <f t="shared" si="3"/>
        <v>5</v>
      </c>
      <c r="G205" t="s">
        <v>2120</v>
      </c>
      <c r="H205" t="s">
        <v>2132</v>
      </c>
    </row>
    <row r="206" spans="1:8">
      <c r="A206" t="s">
        <v>2334</v>
      </c>
      <c r="B206" t="s">
        <v>715</v>
      </c>
      <c r="C206" t="s">
        <v>2119</v>
      </c>
      <c r="D206" s="2">
        <v>46189</v>
      </c>
      <c r="E206" s="2">
        <v>46189</v>
      </c>
      <c r="F206">
        <f t="shared" si="3"/>
        <v>1</v>
      </c>
      <c r="G206" t="s">
        <v>2128</v>
      </c>
      <c r="H206" t="s">
        <v>2134</v>
      </c>
    </row>
    <row r="207" spans="1:8">
      <c r="A207" t="s">
        <v>2335</v>
      </c>
      <c r="B207" t="s">
        <v>718</v>
      </c>
      <c r="C207" t="s">
        <v>2123</v>
      </c>
      <c r="D207" s="2">
        <v>46192</v>
      </c>
      <c r="E207" s="2">
        <v>46193</v>
      </c>
      <c r="F207">
        <f t="shared" si="3"/>
        <v>2</v>
      </c>
      <c r="G207" t="s">
        <v>2120</v>
      </c>
      <c r="H207" t="s">
        <v>2121</v>
      </c>
    </row>
    <row r="208" spans="1:8">
      <c r="A208" t="s">
        <v>2336</v>
      </c>
      <c r="B208" t="s">
        <v>721</v>
      </c>
      <c r="C208" t="s">
        <v>2127</v>
      </c>
      <c r="D208" s="2">
        <v>46195</v>
      </c>
      <c r="E208" s="2">
        <v>46197</v>
      </c>
      <c r="F208">
        <f t="shared" si="3"/>
        <v>3</v>
      </c>
      <c r="G208" t="s">
        <v>2124</v>
      </c>
      <c r="H208" t="s">
        <v>2125</v>
      </c>
    </row>
    <row r="209" spans="1:8">
      <c r="A209" t="s">
        <v>2337</v>
      </c>
      <c r="B209" t="s">
        <v>724</v>
      </c>
      <c r="C209" t="s">
        <v>2131</v>
      </c>
      <c r="D209" s="2">
        <v>46198</v>
      </c>
      <c r="E209" s="2">
        <v>46201</v>
      </c>
      <c r="F209">
        <f t="shared" si="3"/>
        <v>4</v>
      </c>
      <c r="G209" t="s">
        <v>2128</v>
      </c>
      <c r="H209" t="s">
        <v>2129</v>
      </c>
    </row>
    <row r="210" spans="1:8">
      <c r="A210" t="s">
        <v>2338</v>
      </c>
      <c r="B210" t="s">
        <v>727</v>
      </c>
      <c r="C210" t="s">
        <v>2119</v>
      </c>
      <c r="D210" s="2">
        <v>46201</v>
      </c>
      <c r="E210" s="2">
        <v>46205</v>
      </c>
      <c r="F210">
        <f t="shared" si="3"/>
        <v>5</v>
      </c>
      <c r="G210" t="s">
        <v>2120</v>
      </c>
      <c r="H210" t="s">
        <v>2132</v>
      </c>
    </row>
    <row r="211" spans="1:8">
      <c r="A211" t="s">
        <v>2339</v>
      </c>
      <c r="B211" t="s">
        <v>730</v>
      </c>
      <c r="C211" t="s">
        <v>2123</v>
      </c>
      <c r="D211" s="2">
        <v>46204</v>
      </c>
      <c r="E211" s="2">
        <v>46204</v>
      </c>
      <c r="F211">
        <f t="shared" si="3"/>
        <v>1</v>
      </c>
      <c r="G211" t="s">
        <v>2128</v>
      </c>
      <c r="H211" t="s">
        <v>2134</v>
      </c>
    </row>
    <row r="212" spans="1:8">
      <c r="A212" t="s">
        <v>2340</v>
      </c>
      <c r="B212" t="s">
        <v>733</v>
      </c>
      <c r="C212" t="s">
        <v>2127</v>
      </c>
      <c r="D212" s="2">
        <v>46207</v>
      </c>
      <c r="E212" s="2">
        <v>46208</v>
      </c>
      <c r="F212">
        <f t="shared" si="3"/>
        <v>2</v>
      </c>
      <c r="G212" t="s">
        <v>2120</v>
      </c>
      <c r="H212" t="s">
        <v>2121</v>
      </c>
    </row>
    <row r="213" spans="1:8">
      <c r="A213" t="s">
        <v>2341</v>
      </c>
      <c r="B213" t="s">
        <v>736</v>
      </c>
      <c r="C213" t="s">
        <v>2131</v>
      </c>
      <c r="D213" s="2">
        <v>46210</v>
      </c>
      <c r="E213" s="2">
        <v>46212</v>
      </c>
      <c r="F213">
        <f t="shared" si="3"/>
        <v>3</v>
      </c>
      <c r="G213" t="s">
        <v>2124</v>
      </c>
      <c r="H213" t="s">
        <v>2125</v>
      </c>
    </row>
    <row r="214" spans="1:8">
      <c r="A214" t="s">
        <v>2342</v>
      </c>
      <c r="B214" t="s">
        <v>739</v>
      </c>
      <c r="C214" t="s">
        <v>2119</v>
      </c>
      <c r="D214" s="2">
        <v>46213</v>
      </c>
      <c r="E214" s="2">
        <v>46216</v>
      </c>
      <c r="F214">
        <f t="shared" si="3"/>
        <v>4</v>
      </c>
      <c r="G214" t="s">
        <v>2128</v>
      </c>
      <c r="H214" t="s">
        <v>2129</v>
      </c>
    </row>
    <row r="215" spans="1:8">
      <c r="A215" t="s">
        <v>2343</v>
      </c>
      <c r="B215" t="s">
        <v>742</v>
      </c>
      <c r="C215" t="s">
        <v>2123</v>
      </c>
      <c r="D215" s="2">
        <v>46216</v>
      </c>
      <c r="E215" s="2">
        <v>46220</v>
      </c>
      <c r="F215">
        <f t="shared" si="3"/>
        <v>5</v>
      </c>
      <c r="G215" t="s">
        <v>2120</v>
      </c>
      <c r="H215" t="s">
        <v>2132</v>
      </c>
    </row>
    <row r="216" spans="1:8">
      <c r="A216" t="s">
        <v>2344</v>
      </c>
      <c r="B216" t="s">
        <v>745</v>
      </c>
      <c r="C216" t="s">
        <v>2127</v>
      </c>
      <c r="D216" s="2">
        <v>46219</v>
      </c>
      <c r="E216" s="2">
        <v>46219</v>
      </c>
      <c r="F216">
        <f t="shared" si="3"/>
        <v>1</v>
      </c>
      <c r="G216" t="s">
        <v>2128</v>
      </c>
      <c r="H216" t="s">
        <v>2134</v>
      </c>
    </row>
    <row r="217" spans="1:8">
      <c r="A217" t="s">
        <v>2345</v>
      </c>
      <c r="B217" t="s">
        <v>748</v>
      </c>
      <c r="C217" t="s">
        <v>2131</v>
      </c>
      <c r="D217" s="2">
        <v>46222</v>
      </c>
      <c r="E217" s="2">
        <v>46223</v>
      </c>
      <c r="F217">
        <f t="shared" si="3"/>
        <v>2</v>
      </c>
      <c r="G217" t="s">
        <v>2120</v>
      </c>
      <c r="H217" t="s">
        <v>2121</v>
      </c>
    </row>
    <row r="218" spans="1:8">
      <c r="A218" t="s">
        <v>2346</v>
      </c>
      <c r="B218" t="s">
        <v>751</v>
      </c>
      <c r="C218" t="s">
        <v>2119</v>
      </c>
      <c r="D218" s="2">
        <v>46225</v>
      </c>
      <c r="E218" s="2">
        <v>46227</v>
      </c>
      <c r="F218">
        <f t="shared" si="3"/>
        <v>3</v>
      </c>
      <c r="G218" t="s">
        <v>2124</v>
      </c>
      <c r="H218" t="s">
        <v>2125</v>
      </c>
    </row>
    <row r="219" spans="1:8">
      <c r="A219" t="s">
        <v>2347</v>
      </c>
      <c r="B219" t="s">
        <v>754</v>
      </c>
      <c r="C219" t="s">
        <v>2123</v>
      </c>
      <c r="D219" s="2">
        <v>46228</v>
      </c>
      <c r="E219" s="2">
        <v>46231</v>
      </c>
      <c r="F219">
        <f t="shared" si="3"/>
        <v>4</v>
      </c>
      <c r="G219" t="s">
        <v>2128</v>
      </c>
      <c r="H219" t="s">
        <v>2129</v>
      </c>
    </row>
    <row r="220" spans="1:8">
      <c r="A220" t="s">
        <v>2348</v>
      </c>
      <c r="B220" t="s">
        <v>757</v>
      </c>
      <c r="C220" t="s">
        <v>2127</v>
      </c>
      <c r="D220" s="2">
        <v>46231</v>
      </c>
      <c r="E220" s="2">
        <v>46235</v>
      </c>
      <c r="F220">
        <f t="shared" si="3"/>
        <v>5</v>
      </c>
      <c r="G220" t="s">
        <v>2120</v>
      </c>
      <c r="H220" t="s">
        <v>2132</v>
      </c>
    </row>
    <row r="221" spans="1:8">
      <c r="A221" t="s">
        <v>2349</v>
      </c>
      <c r="B221" t="s">
        <v>760</v>
      </c>
      <c r="C221" t="s">
        <v>2131</v>
      </c>
      <c r="D221" s="2">
        <v>46174</v>
      </c>
      <c r="E221" s="2">
        <v>46174</v>
      </c>
      <c r="F221">
        <f t="shared" si="3"/>
        <v>1</v>
      </c>
      <c r="G221" t="s">
        <v>2128</v>
      </c>
      <c r="H221" t="s">
        <v>2134</v>
      </c>
    </row>
    <row r="222" spans="1:8">
      <c r="A222" t="s">
        <v>2350</v>
      </c>
      <c r="B222" t="s">
        <v>763</v>
      </c>
      <c r="C222" t="s">
        <v>2119</v>
      </c>
      <c r="D222" s="2">
        <v>46177</v>
      </c>
      <c r="E222" s="2">
        <v>46178</v>
      </c>
      <c r="F222">
        <f t="shared" si="3"/>
        <v>2</v>
      </c>
      <c r="G222" t="s">
        <v>2120</v>
      </c>
      <c r="H222" t="s">
        <v>2121</v>
      </c>
    </row>
    <row r="223" spans="1:8">
      <c r="A223" t="s">
        <v>2351</v>
      </c>
      <c r="B223" t="s">
        <v>766</v>
      </c>
      <c r="C223" t="s">
        <v>2123</v>
      </c>
      <c r="D223" s="2">
        <v>46180</v>
      </c>
      <c r="E223" s="2">
        <v>46182</v>
      </c>
      <c r="F223">
        <f t="shared" si="3"/>
        <v>3</v>
      </c>
      <c r="G223" t="s">
        <v>2124</v>
      </c>
      <c r="H223" t="s">
        <v>2125</v>
      </c>
    </row>
    <row r="224" spans="1:8">
      <c r="A224" t="s">
        <v>2352</v>
      </c>
      <c r="B224" t="s">
        <v>769</v>
      </c>
      <c r="C224" t="s">
        <v>2127</v>
      </c>
      <c r="D224" s="2">
        <v>46183</v>
      </c>
      <c r="E224" s="2">
        <v>46186</v>
      </c>
      <c r="F224">
        <f t="shared" si="3"/>
        <v>4</v>
      </c>
      <c r="G224" t="s">
        <v>2128</v>
      </c>
      <c r="H224" t="s">
        <v>2129</v>
      </c>
    </row>
    <row r="225" spans="1:8">
      <c r="A225" t="s">
        <v>2353</v>
      </c>
      <c r="B225" t="s">
        <v>772</v>
      </c>
      <c r="C225" t="s">
        <v>2131</v>
      </c>
      <c r="D225" s="2">
        <v>46186</v>
      </c>
      <c r="E225" s="2">
        <v>46190</v>
      </c>
      <c r="F225">
        <f t="shared" si="3"/>
        <v>5</v>
      </c>
      <c r="G225" t="s">
        <v>2120</v>
      </c>
      <c r="H225" t="s">
        <v>2132</v>
      </c>
    </row>
    <row r="226" spans="1:8">
      <c r="A226" t="s">
        <v>2354</v>
      </c>
      <c r="B226" t="s">
        <v>775</v>
      </c>
      <c r="C226" t="s">
        <v>2119</v>
      </c>
      <c r="D226" s="2">
        <v>46189</v>
      </c>
      <c r="E226" s="2">
        <v>46189</v>
      </c>
      <c r="F226">
        <f t="shared" si="3"/>
        <v>1</v>
      </c>
      <c r="G226" t="s">
        <v>2128</v>
      </c>
      <c r="H226" t="s">
        <v>2134</v>
      </c>
    </row>
    <row r="227" spans="1:8">
      <c r="A227" t="s">
        <v>2355</v>
      </c>
      <c r="B227" t="s">
        <v>778</v>
      </c>
      <c r="C227" t="s">
        <v>2123</v>
      </c>
      <c r="D227" s="2">
        <v>46192</v>
      </c>
      <c r="E227" s="2">
        <v>46193</v>
      </c>
      <c r="F227">
        <f t="shared" si="3"/>
        <v>2</v>
      </c>
      <c r="G227" t="s">
        <v>2120</v>
      </c>
      <c r="H227" t="s">
        <v>2121</v>
      </c>
    </row>
    <row r="228" spans="1:8">
      <c r="A228" t="s">
        <v>2356</v>
      </c>
      <c r="B228" t="s">
        <v>781</v>
      </c>
      <c r="C228" t="s">
        <v>2127</v>
      </c>
      <c r="D228" s="2">
        <v>46195</v>
      </c>
      <c r="E228" s="2">
        <v>46197</v>
      </c>
      <c r="F228">
        <f t="shared" si="3"/>
        <v>3</v>
      </c>
      <c r="G228" t="s">
        <v>2124</v>
      </c>
      <c r="H228" t="s">
        <v>2125</v>
      </c>
    </row>
    <row r="229" spans="1:8">
      <c r="A229" t="s">
        <v>2357</v>
      </c>
      <c r="B229" t="s">
        <v>784</v>
      </c>
      <c r="C229" t="s">
        <v>2131</v>
      </c>
      <c r="D229" s="2">
        <v>46198</v>
      </c>
      <c r="E229" s="2">
        <v>46201</v>
      </c>
      <c r="F229">
        <f t="shared" si="3"/>
        <v>4</v>
      </c>
      <c r="G229" t="s">
        <v>2128</v>
      </c>
      <c r="H229" t="s">
        <v>2129</v>
      </c>
    </row>
    <row r="230" spans="1:8">
      <c r="A230" t="s">
        <v>2358</v>
      </c>
      <c r="B230" t="s">
        <v>787</v>
      </c>
      <c r="C230" t="s">
        <v>2119</v>
      </c>
      <c r="D230" s="2">
        <v>46201</v>
      </c>
      <c r="E230" s="2">
        <v>46205</v>
      </c>
      <c r="F230">
        <f t="shared" si="3"/>
        <v>5</v>
      </c>
      <c r="G230" t="s">
        <v>2120</v>
      </c>
      <c r="H230" t="s">
        <v>2132</v>
      </c>
    </row>
    <row r="231" spans="1:8">
      <c r="A231" t="s">
        <v>2359</v>
      </c>
      <c r="B231" t="s">
        <v>790</v>
      </c>
      <c r="C231" t="s">
        <v>2123</v>
      </c>
      <c r="D231" s="2">
        <v>46204</v>
      </c>
      <c r="E231" s="2">
        <v>46204</v>
      </c>
      <c r="F231">
        <f t="shared" si="3"/>
        <v>1</v>
      </c>
      <c r="G231" t="s">
        <v>2128</v>
      </c>
      <c r="H231" t="s">
        <v>2134</v>
      </c>
    </row>
    <row r="232" spans="1:8">
      <c r="A232" t="s">
        <v>2360</v>
      </c>
      <c r="B232" t="s">
        <v>793</v>
      </c>
      <c r="C232" t="s">
        <v>2127</v>
      </c>
      <c r="D232" s="2">
        <v>46207</v>
      </c>
      <c r="E232" s="2">
        <v>46208</v>
      </c>
      <c r="F232">
        <f t="shared" si="3"/>
        <v>2</v>
      </c>
      <c r="G232" t="s">
        <v>2120</v>
      </c>
      <c r="H232" t="s">
        <v>2121</v>
      </c>
    </row>
    <row r="233" spans="1:8">
      <c r="A233" t="s">
        <v>2361</v>
      </c>
      <c r="B233" t="s">
        <v>796</v>
      </c>
      <c r="C233" t="s">
        <v>2131</v>
      </c>
      <c r="D233" s="2">
        <v>46210</v>
      </c>
      <c r="E233" s="2">
        <v>46212</v>
      </c>
      <c r="F233">
        <f t="shared" si="3"/>
        <v>3</v>
      </c>
      <c r="G233" t="s">
        <v>2124</v>
      </c>
      <c r="H233" t="s">
        <v>2125</v>
      </c>
    </row>
    <row r="234" spans="1:8">
      <c r="A234" t="s">
        <v>2362</v>
      </c>
      <c r="B234" t="s">
        <v>799</v>
      </c>
      <c r="C234" t="s">
        <v>2119</v>
      </c>
      <c r="D234" s="2">
        <v>46213</v>
      </c>
      <c r="E234" s="2">
        <v>46216</v>
      </c>
      <c r="F234">
        <f t="shared" si="3"/>
        <v>4</v>
      </c>
      <c r="G234" t="s">
        <v>2128</v>
      </c>
      <c r="H234" t="s">
        <v>2129</v>
      </c>
    </row>
    <row r="235" spans="1:8">
      <c r="A235" t="s">
        <v>2363</v>
      </c>
      <c r="B235" t="s">
        <v>802</v>
      </c>
      <c r="C235" t="s">
        <v>2123</v>
      </c>
      <c r="D235" s="2">
        <v>46216</v>
      </c>
      <c r="E235" s="2">
        <v>46220</v>
      </c>
      <c r="F235">
        <f t="shared" si="3"/>
        <v>5</v>
      </c>
      <c r="G235" t="s">
        <v>2120</v>
      </c>
      <c r="H235" t="s">
        <v>2132</v>
      </c>
    </row>
    <row r="236" spans="1:8">
      <c r="A236" t="s">
        <v>2364</v>
      </c>
      <c r="B236" t="s">
        <v>805</v>
      </c>
      <c r="C236" t="s">
        <v>2127</v>
      </c>
      <c r="D236" s="2">
        <v>46219</v>
      </c>
      <c r="E236" s="2">
        <v>46219</v>
      </c>
      <c r="F236">
        <f t="shared" si="3"/>
        <v>1</v>
      </c>
      <c r="G236" t="s">
        <v>2128</v>
      </c>
      <c r="H236" t="s">
        <v>2134</v>
      </c>
    </row>
    <row r="237" spans="1:8">
      <c r="A237" t="s">
        <v>2365</v>
      </c>
      <c r="B237" t="s">
        <v>808</v>
      </c>
      <c r="C237" t="s">
        <v>2131</v>
      </c>
      <c r="D237" s="2">
        <v>46222</v>
      </c>
      <c r="E237" s="2">
        <v>46223</v>
      </c>
      <c r="F237">
        <f t="shared" si="3"/>
        <v>2</v>
      </c>
      <c r="G237" t="s">
        <v>2120</v>
      </c>
      <c r="H237" t="s">
        <v>2121</v>
      </c>
    </row>
    <row r="238" spans="1:8">
      <c r="A238" t="s">
        <v>2366</v>
      </c>
      <c r="B238" t="s">
        <v>811</v>
      </c>
      <c r="C238" t="s">
        <v>2119</v>
      </c>
      <c r="D238" s="2">
        <v>46225</v>
      </c>
      <c r="E238" s="2">
        <v>46227</v>
      </c>
      <c r="F238">
        <f t="shared" si="3"/>
        <v>3</v>
      </c>
      <c r="G238" t="s">
        <v>2124</v>
      </c>
      <c r="H238" t="s">
        <v>2125</v>
      </c>
    </row>
    <row r="239" spans="1:8">
      <c r="A239" t="s">
        <v>2367</v>
      </c>
      <c r="B239" t="s">
        <v>814</v>
      </c>
      <c r="C239" t="s">
        <v>2123</v>
      </c>
      <c r="D239" s="2">
        <v>46228</v>
      </c>
      <c r="E239" s="2">
        <v>46231</v>
      </c>
      <c r="F239">
        <f t="shared" si="3"/>
        <v>4</v>
      </c>
      <c r="G239" t="s">
        <v>2128</v>
      </c>
      <c r="H239" t="s">
        <v>2129</v>
      </c>
    </row>
    <row r="240" spans="1:8">
      <c r="A240" t="s">
        <v>2368</v>
      </c>
      <c r="B240" t="s">
        <v>817</v>
      </c>
      <c r="C240" t="s">
        <v>2127</v>
      </c>
      <c r="D240" s="2">
        <v>46231</v>
      </c>
      <c r="E240" s="2">
        <v>46235</v>
      </c>
      <c r="F240">
        <f t="shared" si="3"/>
        <v>5</v>
      </c>
      <c r="G240" t="s">
        <v>2120</v>
      </c>
      <c r="H240" t="s">
        <v>2132</v>
      </c>
    </row>
    <row r="241" spans="1:8">
      <c r="A241" t="s">
        <v>2369</v>
      </c>
      <c r="B241" t="s">
        <v>820</v>
      </c>
      <c r="C241" t="s">
        <v>2131</v>
      </c>
      <c r="D241" s="2">
        <v>46174</v>
      </c>
      <c r="E241" s="2">
        <v>46174</v>
      </c>
      <c r="F241">
        <f t="shared" si="3"/>
        <v>1</v>
      </c>
      <c r="G241" t="s">
        <v>2128</v>
      </c>
      <c r="H241" t="s">
        <v>2134</v>
      </c>
    </row>
    <row r="242" spans="1:8">
      <c r="A242" t="s">
        <v>2370</v>
      </c>
      <c r="B242" t="s">
        <v>823</v>
      </c>
      <c r="C242" t="s">
        <v>2119</v>
      </c>
      <c r="D242" s="2">
        <v>46177</v>
      </c>
      <c r="E242" s="2">
        <v>46178</v>
      </c>
      <c r="F242">
        <f t="shared" si="3"/>
        <v>2</v>
      </c>
      <c r="G242" t="s">
        <v>2120</v>
      </c>
      <c r="H242" t="s">
        <v>2121</v>
      </c>
    </row>
    <row r="243" spans="1:8">
      <c r="A243" t="s">
        <v>2371</v>
      </c>
      <c r="B243" t="s">
        <v>826</v>
      </c>
      <c r="C243" t="s">
        <v>2123</v>
      </c>
      <c r="D243" s="2">
        <v>46180</v>
      </c>
      <c r="E243" s="2">
        <v>46182</v>
      </c>
      <c r="F243">
        <f t="shared" si="3"/>
        <v>3</v>
      </c>
      <c r="G243" t="s">
        <v>2124</v>
      </c>
      <c r="H243" t="s">
        <v>2125</v>
      </c>
    </row>
    <row r="244" spans="1:8">
      <c r="A244" t="s">
        <v>2372</v>
      </c>
      <c r="B244" t="s">
        <v>829</v>
      </c>
      <c r="C244" t="s">
        <v>2127</v>
      </c>
      <c r="D244" s="2">
        <v>46183</v>
      </c>
      <c r="E244" s="2">
        <v>46186</v>
      </c>
      <c r="F244">
        <f t="shared" si="3"/>
        <v>4</v>
      </c>
      <c r="G244" t="s">
        <v>2128</v>
      </c>
      <c r="H244" t="s">
        <v>2129</v>
      </c>
    </row>
    <row r="245" spans="1:8">
      <c r="A245" t="s">
        <v>2373</v>
      </c>
      <c r="B245" t="s">
        <v>832</v>
      </c>
      <c r="C245" t="s">
        <v>2131</v>
      </c>
      <c r="D245" s="2">
        <v>46186</v>
      </c>
      <c r="E245" s="2">
        <v>46190</v>
      </c>
      <c r="F245">
        <f t="shared" si="3"/>
        <v>5</v>
      </c>
      <c r="G245" t="s">
        <v>2120</v>
      </c>
      <c r="H245" t="s">
        <v>2132</v>
      </c>
    </row>
    <row r="246" spans="1:8">
      <c r="A246" t="s">
        <v>2374</v>
      </c>
      <c r="B246" t="s">
        <v>835</v>
      </c>
      <c r="C246" t="s">
        <v>2119</v>
      </c>
      <c r="D246" s="2">
        <v>46189</v>
      </c>
      <c r="E246" s="2">
        <v>46189</v>
      </c>
      <c r="F246">
        <f t="shared" si="3"/>
        <v>1</v>
      </c>
      <c r="G246" t="s">
        <v>2128</v>
      </c>
      <c r="H246" t="s">
        <v>2134</v>
      </c>
    </row>
    <row r="247" spans="1:8">
      <c r="A247" t="s">
        <v>2375</v>
      </c>
      <c r="B247" t="s">
        <v>838</v>
      </c>
      <c r="C247" t="s">
        <v>2123</v>
      </c>
      <c r="D247" s="2">
        <v>46192</v>
      </c>
      <c r="E247" s="2">
        <v>46193</v>
      </c>
      <c r="F247">
        <f t="shared" si="3"/>
        <v>2</v>
      </c>
      <c r="G247" t="s">
        <v>2120</v>
      </c>
      <c r="H247" t="s">
        <v>2121</v>
      </c>
    </row>
    <row r="248" spans="1:8">
      <c r="A248" t="s">
        <v>2376</v>
      </c>
      <c r="B248" t="s">
        <v>841</v>
      </c>
      <c r="C248" t="s">
        <v>2127</v>
      </c>
      <c r="D248" s="2">
        <v>46195</v>
      </c>
      <c r="E248" s="2">
        <v>46197</v>
      </c>
      <c r="F248">
        <f t="shared" si="3"/>
        <v>3</v>
      </c>
      <c r="G248" t="s">
        <v>2124</v>
      </c>
      <c r="H248" t="s">
        <v>2125</v>
      </c>
    </row>
    <row r="249" spans="1:8">
      <c r="A249" t="s">
        <v>2377</v>
      </c>
      <c r="B249" t="s">
        <v>844</v>
      </c>
      <c r="C249" t="s">
        <v>2131</v>
      </c>
      <c r="D249" s="2">
        <v>46198</v>
      </c>
      <c r="E249" s="2">
        <v>46201</v>
      </c>
      <c r="F249">
        <f t="shared" si="3"/>
        <v>4</v>
      </c>
      <c r="G249" t="s">
        <v>2128</v>
      </c>
      <c r="H249" t="s">
        <v>2129</v>
      </c>
    </row>
    <row r="250" spans="1:8">
      <c r="A250" t="s">
        <v>2378</v>
      </c>
      <c r="B250" t="s">
        <v>847</v>
      </c>
      <c r="C250" t="s">
        <v>2119</v>
      </c>
      <c r="D250" s="2">
        <v>46201</v>
      </c>
      <c r="E250" s="2">
        <v>46205</v>
      </c>
      <c r="F250">
        <f t="shared" si="3"/>
        <v>5</v>
      </c>
      <c r="G250" t="s">
        <v>2120</v>
      </c>
      <c r="H250" t="s">
        <v>2132</v>
      </c>
    </row>
    <row r="251" spans="1:8">
      <c r="A251" t="s">
        <v>2379</v>
      </c>
      <c r="B251" t="s">
        <v>850</v>
      </c>
      <c r="C251" t="s">
        <v>2123</v>
      </c>
      <c r="D251" s="2">
        <v>46204</v>
      </c>
      <c r="E251" s="2">
        <v>46204</v>
      </c>
      <c r="F251">
        <f t="shared" si="3"/>
        <v>1</v>
      </c>
      <c r="G251" t="s">
        <v>2128</v>
      </c>
      <c r="H251" t="s">
        <v>2134</v>
      </c>
    </row>
    <row r="252" spans="1:8">
      <c r="A252" t="s">
        <v>2380</v>
      </c>
      <c r="B252" t="s">
        <v>853</v>
      </c>
      <c r="C252" t="s">
        <v>2127</v>
      </c>
      <c r="D252" s="2">
        <v>46207</v>
      </c>
      <c r="E252" s="2">
        <v>46208</v>
      </c>
      <c r="F252">
        <f t="shared" si="3"/>
        <v>2</v>
      </c>
      <c r="G252" t="s">
        <v>2120</v>
      </c>
      <c r="H252" t="s">
        <v>2121</v>
      </c>
    </row>
    <row r="253" spans="1:8">
      <c r="A253" t="s">
        <v>2381</v>
      </c>
      <c r="B253" t="s">
        <v>856</v>
      </c>
      <c r="C253" t="s">
        <v>2131</v>
      </c>
      <c r="D253" s="2">
        <v>46210</v>
      </c>
      <c r="E253" s="2">
        <v>46212</v>
      </c>
      <c r="F253">
        <f t="shared" si="3"/>
        <v>3</v>
      </c>
      <c r="G253" t="s">
        <v>2124</v>
      </c>
      <c r="H253" t="s">
        <v>2125</v>
      </c>
    </row>
    <row r="254" spans="1:8">
      <c r="A254" t="s">
        <v>2382</v>
      </c>
      <c r="B254" t="s">
        <v>859</v>
      </c>
      <c r="C254" t="s">
        <v>2119</v>
      </c>
      <c r="D254" s="2">
        <v>46213</v>
      </c>
      <c r="E254" s="2">
        <v>46216</v>
      </c>
      <c r="F254">
        <f t="shared" si="3"/>
        <v>4</v>
      </c>
      <c r="G254" t="s">
        <v>2128</v>
      </c>
      <c r="H254" t="s">
        <v>2129</v>
      </c>
    </row>
    <row r="255" spans="1:8">
      <c r="A255" t="s">
        <v>2383</v>
      </c>
      <c r="B255" t="s">
        <v>862</v>
      </c>
      <c r="C255" t="s">
        <v>2123</v>
      </c>
      <c r="D255" s="2">
        <v>46216</v>
      </c>
      <c r="E255" s="2">
        <v>46220</v>
      </c>
      <c r="F255">
        <f t="shared" si="3"/>
        <v>5</v>
      </c>
      <c r="G255" t="s">
        <v>2120</v>
      </c>
      <c r="H255" t="s">
        <v>2132</v>
      </c>
    </row>
    <row r="256" spans="1:8">
      <c r="A256" t="s">
        <v>2384</v>
      </c>
      <c r="B256" t="s">
        <v>865</v>
      </c>
      <c r="C256" t="s">
        <v>2127</v>
      </c>
      <c r="D256" s="2">
        <v>46219</v>
      </c>
      <c r="E256" s="2">
        <v>46219</v>
      </c>
      <c r="F256">
        <f t="shared" si="3"/>
        <v>1</v>
      </c>
      <c r="G256" t="s">
        <v>2128</v>
      </c>
      <c r="H256" t="s">
        <v>2134</v>
      </c>
    </row>
    <row r="257" spans="1:8">
      <c r="A257" t="s">
        <v>2385</v>
      </c>
      <c r="B257" t="s">
        <v>868</v>
      </c>
      <c r="C257" t="s">
        <v>2131</v>
      </c>
      <c r="D257" s="2">
        <v>46222</v>
      </c>
      <c r="E257" s="2">
        <v>46223</v>
      </c>
      <c r="F257">
        <f t="shared" si="3"/>
        <v>2</v>
      </c>
      <c r="G257" t="s">
        <v>2120</v>
      </c>
      <c r="H257" t="s">
        <v>2121</v>
      </c>
    </row>
    <row r="258" spans="1:8">
      <c r="A258" t="s">
        <v>2386</v>
      </c>
      <c r="B258" t="s">
        <v>871</v>
      </c>
      <c r="C258" t="s">
        <v>2119</v>
      </c>
      <c r="D258" s="2">
        <v>46225</v>
      </c>
      <c r="E258" s="2">
        <v>46227</v>
      </c>
      <c r="F258">
        <f t="shared" ref="F258:F321" si="4">E258-D258+1</f>
        <v>3</v>
      </c>
      <c r="G258" t="s">
        <v>2124</v>
      </c>
      <c r="H258" t="s">
        <v>2125</v>
      </c>
    </row>
    <row r="259" spans="1:8">
      <c r="A259" t="s">
        <v>2387</v>
      </c>
      <c r="B259" t="s">
        <v>874</v>
      </c>
      <c r="C259" t="s">
        <v>2123</v>
      </c>
      <c r="D259" s="2">
        <v>46228</v>
      </c>
      <c r="E259" s="2">
        <v>46231</v>
      </c>
      <c r="F259">
        <f t="shared" si="4"/>
        <v>4</v>
      </c>
      <c r="G259" t="s">
        <v>2128</v>
      </c>
      <c r="H259" t="s">
        <v>2129</v>
      </c>
    </row>
    <row r="260" spans="1:8">
      <c r="A260" t="s">
        <v>2388</v>
      </c>
      <c r="B260" t="s">
        <v>877</v>
      </c>
      <c r="C260" t="s">
        <v>2127</v>
      </c>
      <c r="D260" s="2">
        <v>46231</v>
      </c>
      <c r="E260" s="2">
        <v>46235</v>
      </c>
      <c r="F260">
        <f t="shared" si="4"/>
        <v>5</v>
      </c>
      <c r="G260" t="s">
        <v>2120</v>
      </c>
      <c r="H260" t="s">
        <v>2132</v>
      </c>
    </row>
    <row r="261" spans="1:8">
      <c r="A261" t="s">
        <v>2389</v>
      </c>
      <c r="B261" t="s">
        <v>880</v>
      </c>
      <c r="C261" t="s">
        <v>2131</v>
      </c>
      <c r="D261" s="2">
        <v>46174</v>
      </c>
      <c r="E261" s="2">
        <v>46174</v>
      </c>
      <c r="F261">
        <f t="shared" si="4"/>
        <v>1</v>
      </c>
      <c r="G261" t="s">
        <v>2128</v>
      </c>
      <c r="H261" t="s">
        <v>2134</v>
      </c>
    </row>
    <row r="262" spans="1:8">
      <c r="A262" t="s">
        <v>2390</v>
      </c>
      <c r="B262" t="s">
        <v>883</v>
      </c>
      <c r="C262" t="s">
        <v>2119</v>
      </c>
      <c r="D262" s="2">
        <v>46177</v>
      </c>
      <c r="E262" s="2">
        <v>46178</v>
      </c>
      <c r="F262">
        <f t="shared" si="4"/>
        <v>2</v>
      </c>
      <c r="G262" t="s">
        <v>2120</v>
      </c>
      <c r="H262" t="s">
        <v>2121</v>
      </c>
    </row>
    <row r="263" spans="1:8">
      <c r="A263" t="s">
        <v>2391</v>
      </c>
      <c r="B263" t="s">
        <v>886</v>
      </c>
      <c r="C263" t="s">
        <v>2123</v>
      </c>
      <c r="D263" s="2">
        <v>46180</v>
      </c>
      <c r="E263" s="2">
        <v>46182</v>
      </c>
      <c r="F263">
        <f t="shared" si="4"/>
        <v>3</v>
      </c>
      <c r="G263" t="s">
        <v>2124</v>
      </c>
      <c r="H263" t="s">
        <v>2125</v>
      </c>
    </row>
    <row r="264" spans="1:8">
      <c r="A264" t="s">
        <v>2392</v>
      </c>
      <c r="B264" t="s">
        <v>889</v>
      </c>
      <c r="C264" t="s">
        <v>2127</v>
      </c>
      <c r="D264" s="2">
        <v>46183</v>
      </c>
      <c r="E264" s="2">
        <v>46186</v>
      </c>
      <c r="F264">
        <f t="shared" si="4"/>
        <v>4</v>
      </c>
      <c r="G264" t="s">
        <v>2128</v>
      </c>
      <c r="H264" t="s">
        <v>2129</v>
      </c>
    </row>
    <row r="265" spans="1:8">
      <c r="A265" t="s">
        <v>2393</v>
      </c>
      <c r="B265" t="s">
        <v>892</v>
      </c>
      <c r="C265" t="s">
        <v>2131</v>
      </c>
      <c r="D265" s="2">
        <v>46186</v>
      </c>
      <c r="E265" s="2">
        <v>46190</v>
      </c>
      <c r="F265">
        <f t="shared" si="4"/>
        <v>5</v>
      </c>
      <c r="G265" t="s">
        <v>2120</v>
      </c>
      <c r="H265" t="s">
        <v>2132</v>
      </c>
    </row>
    <row r="266" spans="1:8">
      <c r="A266" t="s">
        <v>2394</v>
      </c>
      <c r="B266" t="s">
        <v>895</v>
      </c>
      <c r="C266" t="s">
        <v>2119</v>
      </c>
      <c r="D266" s="2">
        <v>46189</v>
      </c>
      <c r="E266" s="2">
        <v>46189</v>
      </c>
      <c r="F266">
        <f t="shared" si="4"/>
        <v>1</v>
      </c>
      <c r="G266" t="s">
        <v>2128</v>
      </c>
      <c r="H266" t="s">
        <v>2134</v>
      </c>
    </row>
    <row r="267" spans="1:8">
      <c r="A267" t="s">
        <v>2395</v>
      </c>
      <c r="B267" t="s">
        <v>898</v>
      </c>
      <c r="C267" t="s">
        <v>2123</v>
      </c>
      <c r="D267" s="2">
        <v>46192</v>
      </c>
      <c r="E267" s="2">
        <v>46193</v>
      </c>
      <c r="F267">
        <f t="shared" si="4"/>
        <v>2</v>
      </c>
      <c r="G267" t="s">
        <v>2120</v>
      </c>
      <c r="H267" t="s">
        <v>2121</v>
      </c>
    </row>
    <row r="268" spans="1:8">
      <c r="A268" t="s">
        <v>2396</v>
      </c>
      <c r="B268" t="s">
        <v>901</v>
      </c>
      <c r="C268" t="s">
        <v>2127</v>
      </c>
      <c r="D268" s="2">
        <v>46195</v>
      </c>
      <c r="E268" s="2">
        <v>46197</v>
      </c>
      <c r="F268">
        <f t="shared" si="4"/>
        <v>3</v>
      </c>
      <c r="G268" t="s">
        <v>2124</v>
      </c>
      <c r="H268" t="s">
        <v>2125</v>
      </c>
    </row>
    <row r="269" spans="1:8">
      <c r="A269" t="s">
        <v>2397</v>
      </c>
      <c r="B269" t="s">
        <v>904</v>
      </c>
      <c r="C269" t="s">
        <v>2131</v>
      </c>
      <c r="D269" s="2">
        <v>46198</v>
      </c>
      <c r="E269" s="2">
        <v>46201</v>
      </c>
      <c r="F269">
        <f t="shared" si="4"/>
        <v>4</v>
      </c>
      <c r="G269" t="s">
        <v>2128</v>
      </c>
      <c r="H269" t="s">
        <v>2129</v>
      </c>
    </row>
    <row r="270" spans="1:8">
      <c r="A270" t="s">
        <v>2398</v>
      </c>
      <c r="B270" t="s">
        <v>907</v>
      </c>
      <c r="C270" t="s">
        <v>2119</v>
      </c>
      <c r="D270" s="2">
        <v>46201</v>
      </c>
      <c r="E270" s="2">
        <v>46205</v>
      </c>
      <c r="F270">
        <f t="shared" si="4"/>
        <v>5</v>
      </c>
      <c r="G270" t="s">
        <v>2120</v>
      </c>
      <c r="H270" t="s">
        <v>2132</v>
      </c>
    </row>
    <row r="271" spans="1:8">
      <c r="A271" t="s">
        <v>2399</v>
      </c>
      <c r="B271" t="s">
        <v>910</v>
      </c>
      <c r="C271" t="s">
        <v>2123</v>
      </c>
      <c r="D271" s="2">
        <v>46204</v>
      </c>
      <c r="E271" s="2">
        <v>46204</v>
      </c>
      <c r="F271">
        <f t="shared" si="4"/>
        <v>1</v>
      </c>
      <c r="G271" t="s">
        <v>2128</v>
      </c>
      <c r="H271" t="s">
        <v>2134</v>
      </c>
    </row>
    <row r="272" spans="1:8">
      <c r="A272" t="s">
        <v>2400</v>
      </c>
      <c r="B272" t="s">
        <v>913</v>
      </c>
      <c r="C272" t="s">
        <v>2127</v>
      </c>
      <c r="D272" s="2">
        <v>46207</v>
      </c>
      <c r="E272" s="2">
        <v>46208</v>
      </c>
      <c r="F272">
        <f t="shared" si="4"/>
        <v>2</v>
      </c>
      <c r="G272" t="s">
        <v>2120</v>
      </c>
      <c r="H272" t="s">
        <v>2121</v>
      </c>
    </row>
    <row r="273" spans="1:8">
      <c r="A273" t="s">
        <v>2401</v>
      </c>
      <c r="B273" t="s">
        <v>916</v>
      </c>
      <c r="C273" t="s">
        <v>2131</v>
      </c>
      <c r="D273" s="2">
        <v>46210</v>
      </c>
      <c r="E273" s="2">
        <v>46212</v>
      </c>
      <c r="F273">
        <f t="shared" si="4"/>
        <v>3</v>
      </c>
      <c r="G273" t="s">
        <v>2124</v>
      </c>
      <c r="H273" t="s">
        <v>2125</v>
      </c>
    </row>
    <row r="274" spans="1:8">
      <c r="A274" t="s">
        <v>2402</v>
      </c>
      <c r="B274" t="s">
        <v>919</v>
      </c>
      <c r="C274" t="s">
        <v>2119</v>
      </c>
      <c r="D274" s="2">
        <v>46213</v>
      </c>
      <c r="E274" s="2">
        <v>46216</v>
      </c>
      <c r="F274">
        <f t="shared" si="4"/>
        <v>4</v>
      </c>
      <c r="G274" t="s">
        <v>2128</v>
      </c>
      <c r="H274" t="s">
        <v>2129</v>
      </c>
    </row>
    <row r="275" spans="1:8">
      <c r="A275" t="s">
        <v>2403</v>
      </c>
      <c r="B275" t="s">
        <v>922</v>
      </c>
      <c r="C275" t="s">
        <v>2123</v>
      </c>
      <c r="D275" s="2">
        <v>46216</v>
      </c>
      <c r="E275" s="2">
        <v>46220</v>
      </c>
      <c r="F275">
        <f t="shared" si="4"/>
        <v>5</v>
      </c>
      <c r="G275" t="s">
        <v>2120</v>
      </c>
      <c r="H275" t="s">
        <v>2132</v>
      </c>
    </row>
    <row r="276" spans="1:8">
      <c r="A276" t="s">
        <v>2404</v>
      </c>
      <c r="B276" t="s">
        <v>925</v>
      </c>
      <c r="C276" t="s">
        <v>2127</v>
      </c>
      <c r="D276" s="2">
        <v>46219</v>
      </c>
      <c r="E276" s="2">
        <v>46219</v>
      </c>
      <c r="F276">
        <f t="shared" si="4"/>
        <v>1</v>
      </c>
      <c r="G276" t="s">
        <v>2128</v>
      </c>
      <c r="H276" t="s">
        <v>2134</v>
      </c>
    </row>
    <row r="277" spans="1:8">
      <c r="A277" t="s">
        <v>2405</v>
      </c>
      <c r="B277" t="s">
        <v>928</v>
      </c>
      <c r="C277" t="s">
        <v>2131</v>
      </c>
      <c r="D277" s="2">
        <v>46222</v>
      </c>
      <c r="E277" s="2">
        <v>46223</v>
      </c>
      <c r="F277">
        <f t="shared" si="4"/>
        <v>2</v>
      </c>
      <c r="G277" t="s">
        <v>2120</v>
      </c>
      <c r="H277" t="s">
        <v>2121</v>
      </c>
    </row>
    <row r="278" spans="1:8">
      <c r="A278" t="s">
        <v>2406</v>
      </c>
      <c r="B278" t="s">
        <v>931</v>
      </c>
      <c r="C278" t="s">
        <v>2119</v>
      </c>
      <c r="D278" s="2">
        <v>46225</v>
      </c>
      <c r="E278" s="2">
        <v>46227</v>
      </c>
      <c r="F278">
        <f t="shared" si="4"/>
        <v>3</v>
      </c>
      <c r="G278" t="s">
        <v>2124</v>
      </c>
      <c r="H278" t="s">
        <v>2125</v>
      </c>
    </row>
    <row r="279" spans="1:8">
      <c r="A279" t="s">
        <v>2407</v>
      </c>
      <c r="B279" t="s">
        <v>934</v>
      </c>
      <c r="C279" t="s">
        <v>2123</v>
      </c>
      <c r="D279" s="2">
        <v>46228</v>
      </c>
      <c r="E279" s="2">
        <v>46231</v>
      </c>
      <c r="F279">
        <f t="shared" si="4"/>
        <v>4</v>
      </c>
      <c r="G279" t="s">
        <v>2128</v>
      </c>
      <c r="H279" t="s">
        <v>2129</v>
      </c>
    </row>
    <row r="280" spans="1:8">
      <c r="A280" t="s">
        <v>2408</v>
      </c>
      <c r="B280" t="s">
        <v>937</v>
      </c>
      <c r="C280" t="s">
        <v>2127</v>
      </c>
      <c r="D280" s="2">
        <v>46231</v>
      </c>
      <c r="E280" s="2">
        <v>46235</v>
      </c>
      <c r="F280">
        <f t="shared" si="4"/>
        <v>5</v>
      </c>
      <c r="G280" t="s">
        <v>2120</v>
      </c>
      <c r="H280" t="s">
        <v>2132</v>
      </c>
    </row>
    <row r="281" spans="1:8">
      <c r="A281" t="s">
        <v>2409</v>
      </c>
      <c r="B281" t="s">
        <v>940</v>
      </c>
      <c r="C281" t="s">
        <v>2131</v>
      </c>
      <c r="D281" s="2">
        <v>46174</v>
      </c>
      <c r="E281" s="2">
        <v>46174</v>
      </c>
      <c r="F281">
        <f t="shared" si="4"/>
        <v>1</v>
      </c>
      <c r="G281" t="s">
        <v>2128</v>
      </c>
      <c r="H281" t="s">
        <v>2134</v>
      </c>
    </row>
    <row r="282" spans="1:8">
      <c r="A282" t="s">
        <v>2410</v>
      </c>
      <c r="B282" t="s">
        <v>943</v>
      </c>
      <c r="C282" t="s">
        <v>2119</v>
      </c>
      <c r="D282" s="2">
        <v>46177</v>
      </c>
      <c r="E282" s="2">
        <v>46178</v>
      </c>
      <c r="F282">
        <f t="shared" si="4"/>
        <v>2</v>
      </c>
      <c r="G282" t="s">
        <v>2120</v>
      </c>
      <c r="H282" t="s">
        <v>2121</v>
      </c>
    </row>
    <row r="283" spans="1:8">
      <c r="A283" t="s">
        <v>2411</v>
      </c>
      <c r="B283" t="s">
        <v>946</v>
      </c>
      <c r="C283" t="s">
        <v>2123</v>
      </c>
      <c r="D283" s="2">
        <v>46180</v>
      </c>
      <c r="E283" s="2">
        <v>46182</v>
      </c>
      <c r="F283">
        <f t="shared" si="4"/>
        <v>3</v>
      </c>
      <c r="G283" t="s">
        <v>2124</v>
      </c>
      <c r="H283" t="s">
        <v>2125</v>
      </c>
    </row>
    <row r="284" spans="1:8">
      <c r="A284" t="s">
        <v>2412</v>
      </c>
      <c r="B284" t="s">
        <v>949</v>
      </c>
      <c r="C284" t="s">
        <v>2127</v>
      </c>
      <c r="D284" s="2">
        <v>46183</v>
      </c>
      <c r="E284" s="2">
        <v>46186</v>
      </c>
      <c r="F284">
        <f t="shared" si="4"/>
        <v>4</v>
      </c>
      <c r="G284" t="s">
        <v>2128</v>
      </c>
      <c r="H284" t="s">
        <v>2129</v>
      </c>
    </row>
    <row r="285" spans="1:8">
      <c r="A285" t="s">
        <v>2413</v>
      </c>
      <c r="B285" t="s">
        <v>952</v>
      </c>
      <c r="C285" t="s">
        <v>2131</v>
      </c>
      <c r="D285" s="2">
        <v>46186</v>
      </c>
      <c r="E285" s="2">
        <v>46190</v>
      </c>
      <c r="F285">
        <f t="shared" si="4"/>
        <v>5</v>
      </c>
      <c r="G285" t="s">
        <v>2120</v>
      </c>
      <c r="H285" t="s">
        <v>2132</v>
      </c>
    </row>
    <row r="286" spans="1:8">
      <c r="A286" t="s">
        <v>2414</v>
      </c>
      <c r="B286" t="s">
        <v>955</v>
      </c>
      <c r="C286" t="s">
        <v>2119</v>
      </c>
      <c r="D286" s="2">
        <v>46189</v>
      </c>
      <c r="E286" s="2">
        <v>46189</v>
      </c>
      <c r="F286">
        <f t="shared" si="4"/>
        <v>1</v>
      </c>
      <c r="G286" t="s">
        <v>2128</v>
      </c>
      <c r="H286" t="s">
        <v>2134</v>
      </c>
    </row>
    <row r="287" spans="1:8">
      <c r="A287" t="s">
        <v>2415</v>
      </c>
      <c r="B287" t="s">
        <v>958</v>
      </c>
      <c r="C287" t="s">
        <v>2123</v>
      </c>
      <c r="D287" s="2">
        <v>46192</v>
      </c>
      <c r="E287" s="2">
        <v>46193</v>
      </c>
      <c r="F287">
        <f t="shared" si="4"/>
        <v>2</v>
      </c>
      <c r="G287" t="s">
        <v>2120</v>
      </c>
      <c r="H287" t="s">
        <v>2121</v>
      </c>
    </row>
    <row r="288" spans="1:8">
      <c r="A288" t="s">
        <v>2416</v>
      </c>
      <c r="B288" t="s">
        <v>961</v>
      </c>
      <c r="C288" t="s">
        <v>2127</v>
      </c>
      <c r="D288" s="2">
        <v>46195</v>
      </c>
      <c r="E288" s="2">
        <v>46197</v>
      </c>
      <c r="F288">
        <f t="shared" si="4"/>
        <v>3</v>
      </c>
      <c r="G288" t="s">
        <v>2124</v>
      </c>
      <c r="H288" t="s">
        <v>2125</v>
      </c>
    </row>
    <row r="289" spans="1:8">
      <c r="A289" t="s">
        <v>2417</v>
      </c>
      <c r="B289" t="s">
        <v>964</v>
      </c>
      <c r="C289" t="s">
        <v>2131</v>
      </c>
      <c r="D289" s="2">
        <v>46198</v>
      </c>
      <c r="E289" s="2">
        <v>46201</v>
      </c>
      <c r="F289">
        <f t="shared" si="4"/>
        <v>4</v>
      </c>
      <c r="G289" t="s">
        <v>2128</v>
      </c>
      <c r="H289" t="s">
        <v>2129</v>
      </c>
    </row>
    <row r="290" spans="1:8">
      <c r="A290" t="s">
        <v>2418</v>
      </c>
      <c r="B290" t="s">
        <v>967</v>
      </c>
      <c r="C290" t="s">
        <v>2119</v>
      </c>
      <c r="D290" s="2">
        <v>46201</v>
      </c>
      <c r="E290" s="2">
        <v>46205</v>
      </c>
      <c r="F290">
        <f t="shared" si="4"/>
        <v>5</v>
      </c>
      <c r="G290" t="s">
        <v>2120</v>
      </c>
      <c r="H290" t="s">
        <v>2132</v>
      </c>
    </row>
    <row r="291" spans="1:8">
      <c r="A291" t="s">
        <v>2419</v>
      </c>
      <c r="B291" t="s">
        <v>970</v>
      </c>
      <c r="C291" t="s">
        <v>2123</v>
      </c>
      <c r="D291" s="2">
        <v>46204</v>
      </c>
      <c r="E291" s="2">
        <v>46204</v>
      </c>
      <c r="F291">
        <f t="shared" si="4"/>
        <v>1</v>
      </c>
      <c r="G291" t="s">
        <v>2128</v>
      </c>
      <c r="H291" t="s">
        <v>2134</v>
      </c>
    </row>
    <row r="292" spans="1:8">
      <c r="A292" t="s">
        <v>2420</v>
      </c>
      <c r="B292" t="s">
        <v>973</v>
      </c>
      <c r="C292" t="s">
        <v>2127</v>
      </c>
      <c r="D292" s="2">
        <v>46207</v>
      </c>
      <c r="E292" s="2">
        <v>46208</v>
      </c>
      <c r="F292">
        <f t="shared" si="4"/>
        <v>2</v>
      </c>
      <c r="G292" t="s">
        <v>2120</v>
      </c>
      <c r="H292" t="s">
        <v>2121</v>
      </c>
    </row>
    <row r="293" spans="1:8">
      <c r="A293" t="s">
        <v>2421</v>
      </c>
      <c r="B293" t="s">
        <v>976</v>
      </c>
      <c r="C293" t="s">
        <v>2131</v>
      </c>
      <c r="D293" s="2">
        <v>46210</v>
      </c>
      <c r="E293" s="2">
        <v>46212</v>
      </c>
      <c r="F293">
        <f t="shared" si="4"/>
        <v>3</v>
      </c>
      <c r="G293" t="s">
        <v>2124</v>
      </c>
      <c r="H293" t="s">
        <v>2125</v>
      </c>
    </row>
    <row r="294" spans="1:8">
      <c r="A294" t="s">
        <v>2422</v>
      </c>
      <c r="B294" t="s">
        <v>979</v>
      </c>
      <c r="C294" t="s">
        <v>2119</v>
      </c>
      <c r="D294" s="2">
        <v>46213</v>
      </c>
      <c r="E294" s="2">
        <v>46216</v>
      </c>
      <c r="F294">
        <f t="shared" si="4"/>
        <v>4</v>
      </c>
      <c r="G294" t="s">
        <v>2128</v>
      </c>
      <c r="H294" t="s">
        <v>2129</v>
      </c>
    </row>
    <row r="295" spans="1:8">
      <c r="A295" t="s">
        <v>2423</v>
      </c>
      <c r="B295" t="s">
        <v>982</v>
      </c>
      <c r="C295" t="s">
        <v>2123</v>
      </c>
      <c r="D295" s="2">
        <v>46216</v>
      </c>
      <c r="E295" s="2">
        <v>46220</v>
      </c>
      <c r="F295">
        <f t="shared" si="4"/>
        <v>5</v>
      </c>
      <c r="G295" t="s">
        <v>2120</v>
      </c>
      <c r="H295" t="s">
        <v>2132</v>
      </c>
    </row>
    <row r="296" spans="1:8">
      <c r="A296" t="s">
        <v>2424</v>
      </c>
      <c r="B296" t="s">
        <v>985</v>
      </c>
      <c r="C296" t="s">
        <v>2127</v>
      </c>
      <c r="D296" s="2">
        <v>46219</v>
      </c>
      <c r="E296" s="2">
        <v>46219</v>
      </c>
      <c r="F296">
        <f t="shared" si="4"/>
        <v>1</v>
      </c>
      <c r="G296" t="s">
        <v>2128</v>
      </c>
      <c r="H296" t="s">
        <v>2134</v>
      </c>
    </row>
    <row r="297" spans="1:8">
      <c r="A297" t="s">
        <v>2425</v>
      </c>
      <c r="B297" t="s">
        <v>988</v>
      </c>
      <c r="C297" t="s">
        <v>2131</v>
      </c>
      <c r="D297" s="2">
        <v>46222</v>
      </c>
      <c r="E297" s="2">
        <v>46223</v>
      </c>
      <c r="F297">
        <f t="shared" si="4"/>
        <v>2</v>
      </c>
      <c r="G297" t="s">
        <v>2120</v>
      </c>
      <c r="H297" t="s">
        <v>2121</v>
      </c>
    </row>
    <row r="298" spans="1:8">
      <c r="A298" t="s">
        <v>2426</v>
      </c>
      <c r="B298" t="s">
        <v>991</v>
      </c>
      <c r="C298" t="s">
        <v>2119</v>
      </c>
      <c r="D298" s="2">
        <v>46225</v>
      </c>
      <c r="E298" s="2">
        <v>46227</v>
      </c>
      <c r="F298">
        <f t="shared" si="4"/>
        <v>3</v>
      </c>
      <c r="G298" t="s">
        <v>2124</v>
      </c>
      <c r="H298" t="s">
        <v>2125</v>
      </c>
    </row>
    <row r="299" spans="1:8">
      <c r="A299" t="s">
        <v>2427</v>
      </c>
      <c r="B299" t="s">
        <v>994</v>
      </c>
      <c r="C299" t="s">
        <v>2123</v>
      </c>
      <c r="D299" s="2">
        <v>46228</v>
      </c>
      <c r="E299" s="2">
        <v>46231</v>
      </c>
      <c r="F299">
        <f t="shared" si="4"/>
        <v>4</v>
      </c>
      <c r="G299" t="s">
        <v>2128</v>
      </c>
      <c r="H299" t="s">
        <v>2129</v>
      </c>
    </row>
    <row r="300" spans="1:8">
      <c r="A300" t="s">
        <v>2428</v>
      </c>
      <c r="B300" t="s">
        <v>997</v>
      </c>
      <c r="C300" t="s">
        <v>2127</v>
      </c>
      <c r="D300" s="2">
        <v>46231</v>
      </c>
      <c r="E300" s="2">
        <v>46235</v>
      </c>
      <c r="F300">
        <f t="shared" si="4"/>
        <v>5</v>
      </c>
      <c r="G300" t="s">
        <v>2120</v>
      </c>
      <c r="H300" t="s">
        <v>2132</v>
      </c>
    </row>
    <row r="301" spans="1:8">
      <c r="A301" t="s">
        <v>2429</v>
      </c>
      <c r="B301" t="s">
        <v>1000</v>
      </c>
      <c r="C301" t="s">
        <v>2131</v>
      </c>
      <c r="D301" s="2">
        <v>46174</v>
      </c>
      <c r="E301" s="2">
        <v>46174</v>
      </c>
      <c r="F301">
        <f t="shared" si="4"/>
        <v>1</v>
      </c>
      <c r="G301" t="s">
        <v>2128</v>
      </c>
      <c r="H301" t="s">
        <v>2134</v>
      </c>
    </row>
    <row r="302" spans="1:8">
      <c r="A302" t="s">
        <v>2430</v>
      </c>
      <c r="B302" t="s">
        <v>1003</v>
      </c>
      <c r="C302" t="s">
        <v>2119</v>
      </c>
      <c r="D302" s="2">
        <v>46177</v>
      </c>
      <c r="E302" s="2">
        <v>46178</v>
      </c>
      <c r="F302">
        <f t="shared" si="4"/>
        <v>2</v>
      </c>
      <c r="G302" t="s">
        <v>2120</v>
      </c>
      <c r="H302" t="s">
        <v>2121</v>
      </c>
    </row>
    <row r="303" spans="1:8">
      <c r="A303" t="s">
        <v>2431</v>
      </c>
      <c r="B303" t="s">
        <v>1006</v>
      </c>
      <c r="C303" t="s">
        <v>2123</v>
      </c>
      <c r="D303" s="2">
        <v>46180</v>
      </c>
      <c r="E303" s="2">
        <v>46182</v>
      </c>
      <c r="F303">
        <f t="shared" si="4"/>
        <v>3</v>
      </c>
      <c r="G303" t="s">
        <v>2124</v>
      </c>
      <c r="H303" t="s">
        <v>2125</v>
      </c>
    </row>
    <row r="304" spans="1:8">
      <c r="A304" t="s">
        <v>2432</v>
      </c>
      <c r="B304" t="s">
        <v>1009</v>
      </c>
      <c r="C304" t="s">
        <v>2127</v>
      </c>
      <c r="D304" s="2">
        <v>46183</v>
      </c>
      <c r="E304" s="2">
        <v>46186</v>
      </c>
      <c r="F304">
        <f t="shared" si="4"/>
        <v>4</v>
      </c>
      <c r="G304" t="s">
        <v>2128</v>
      </c>
      <c r="H304" t="s">
        <v>2129</v>
      </c>
    </row>
    <row r="305" spans="1:8">
      <c r="A305" t="s">
        <v>2433</v>
      </c>
      <c r="B305" t="s">
        <v>1012</v>
      </c>
      <c r="C305" t="s">
        <v>2131</v>
      </c>
      <c r="D305" s="2">
        <v>46186</v>
      </c>
      <c r="E305" s="2">
        <v>46190</v>
      </c>
      <c r="F305">
        <f t="shared" si="4"/>
        <v>5</v>
      </c>
      <c r="G305" t="s">
        <v>2120</v>
      </c>
      <c r="H305" t="s">
        <v>2132</v>
      </c>
    </row>
    <row r="306" spans="1:8">
      <c r="A306" t="s">
        <v>2434</v>
      </c>
      <c r="B306" t="s">
        <v>1015</v>
      </c>
      <c r="C306" t="s">
        <v>2119</v>
      </c>
      <c r="D306" s="2">
        <v>46189</v>
      </c>
      <c r="E306" s="2">
        <v>46189</v>
      </c>
      <c r="F306">
        <f t="shared" si="4"/>
        <v>1</v>
      </c>
      <c r="G306" t="s">
        <v>2128</v>
      </c>
      <c r="H306" t="s">
        <v>2134</v>
      </c>
    </row>
    <row r="307" spans="1:8">
      <c r="A307" t="s">
        <v>2435</v>
      </c>
      <c r="B307" t="s">
        <v>1018</v>
      </c>
      <c r="C307" t="s">
        <v>2123</v>
      </c>
      <c r="D307" s="2">
        <v>46192</v>
      </c>
      <c r="E307" s="2">
        <v>46193</v>
      </c>
      <c r="F307">
        <f t="shared" si="4"/>
        <v>2</v>
      </c>
      <c r="G307" t="s">
        <v>2120</v>
      </c>
      <c r="H307" t="s">
        <v>2121</v>
      </c>
    </row>
    <row r="308" spans="1:8">
      <c r="A308" t="s">
        <v>2436</v>
      </c>
      <c r="B308" t="s">
        <v>1021</v>
      </c>
      <c r="C308" t="s">
        <v>2127</v>
      </c>
      <c r="D308" s="2">
        <v>46195</v>
      </c>
      <c r="E308" s="2">
        <v>46197</v>
      </c>
      <c r="F308">
        <f t="shared" si="4"/>
        <v>3</v>
      </c>
      <c r="G308" t="s">
        <v>2124</v>
      </c>
      <c r="H308" t="s">
        <v>2125</v>
      </c>
    </row>
    <row r="309" spans="1:8">
      <c r="A309" t="s">
        <v>2437</v>
      </c>
      <c r="B309" t="s">
        <v>1024</v>
      </c>
      <c r="C309" t="s">
        <v>2131</v>
      </c>
      <c r="D309" s="2">
        <v>46198</v>
      </c>
      <c r="E309" s="2">
        <v>46201</v>
      </c>
      <c r="F309">
        <f t="shared" si="4"/>
        <v>4</v>
      </c>
      <c r="G309" t="s">
        <v>2128</v>
      </c>
      <c r="H309" t="s">
        <v>2129</v>
      </c>
    </row>
    <row r="310" spans="1:8">
      <c r="A310" t="s">
        <v>2438</v>
      </c>
      <c r="B310" t="s">
        <v>1027</v>
      </c>
      <c r="C310" t="s">
        <v>2119</v>
      </c>
      <c r="D310" s="2">
        <v>46201</v>
      </c>
      <c r="E310" s="2">
        <v>46205</v>
      </c>
      <c r="F310">
        <f t="shared" si="4"/>
        <v>5</v>
      </c>
      <c r="G310" t="s">
        <v>2120</v>
      </c>
      <c r="H310" t="s">
        <v>2132</v>
      </c>
    </row>
    <row r="311" spans="1:8">
      <c r="A311" t="s">
        <v>2439</v>
      </c>
      <c r="B311" t="s">
        <v>1030</v>
      </c>
      <c r="C311" t="s">
        <v>2123</v>
      </c>
      <c r="D311" s="2">
        <v>46204</v>
      </c>
      <c r="E311" s="2">
        <v>46204</v>
      </c>
      <c r="F311">
        <f t="shared" si="4"/>
        <v>1</v>
      </c>
      <c r="G311" t="s">
        <v>2128</v>
      </c>
      <c r="H311" t="s">
        <v>2134</v>
      </c>
    </row>
    <row r="312" spans="1:8">
      <c r="A312" t="s">
        <v>2440</v>
      </c>
      <c r="B312" t="s">
        <v>1033</v>
      </c>
      <c r="C312" t="s">
        <v>2127</v>
      </c>
      <c r="D312" s="2">
        <v>46207</v>
      </c>
      <c r="E312" s="2">
        <v>46208</v>
      </c>
      <c r="F312">
        <f t="shared" si="4"/>
        <v>2</v>
      </c>
      <c r="G312" t="s">
        <v>2120</v>
      </c>
      <c r="H312" t="s">
        <v>2121</v>
      </c>
    </row>
    <row r="313" spans="1:8">
      <c r="A313" t="s">
        <v>2441</v>
      </c>
      <c r="B313" t="s">
        <v>1036</v>
      </c>
      <c r="C313" t="s">
        <v>2131</v>
      </c>
      <c r="D313" s="2">
        <v>46210</v>
      </c>
      <c r="E313" s="2">
        <v>46212</v>
      </c>
      <c r="F313">
        <f t="shared" si="4"/>
        <v>3</v>
      </c>
      <c r="G313" t="s">
        <v>2124</v>
      </c>
      <c r="H313" t="s">
        <v>2125</v>
      </c>
    </row>
    <row r="314" spans="1:8">
      <c r="A314" t="s">
        <v>2442</v>
      </c>
      <c r="B314" t="s">
        <v>1039</v>
      </c>
      <c r="C314" t="s">
        <v>2119</v>
      </c>
      <c r="D314" s="2">
        <v>46213</v>
      </c>
      <c r="E314" s="2">
        <v>46216</v>
      </c>
      <c r="F314">
        <f t="shared" si="4"/>
        <v>4</v>
      </c>
      <c r="G314" t="s">
        <v>2128</v>
      </c>
      <c r="H314" t="s">
        <v>2129</v>
      </c>
    </row>
    <row r="315" spans="1:8">
      <c r="A315" t="s">
        <v>2443</v>
      </c>
      <c r="B315" t="s">
        <v>1042</v>
      </c>
      <c r="C315" t="s">
        <v>2123</v>
      </c>
      <c r="D315" s="2">
        <v>46216</v>
      </c>
      <c r="E315" s="2">
        <v>46220</v>
      </c>
      <c r="F315">
        <f t="shared" si="4"/>
        <v>5</v>
      </c>
      <c r="G315" t="s">
        <v>2120</v>
      </c>
      <c r="H315" t="s">
        <v>2132</v>
      </c>
    </row>
    <row r="316" spans="1:8">
      <c r="A316" t="s">
        <v>2444</v>
      </c>
      <c r="B316" t="s">
        <v>1045</v>
      </c>
      <c r="C316" t="s">
        <v>2127</v>
      </c>
      <c r="D316" s="2">
        <v>46219</v>
      </c>
      <c r="E316" s="2">
        <v>46219</v>
      </c>
      <c r="F316">
        <f t="shared" si="4"/>
        <v>1</v>
      </c>
      <c r="G316" t="s">
        <v>2128</v>
      </c>
      <c r="H316" t="s">
        <v>2134</v>
      </c>
    </row>
    <row r="317" spans="1:8">
      <c r="A317" t="s">
        <v>2445</v>
      </c>
      <c r="B317" t="s">
        <v>1048</v>
      </c>
      <c r="C317" t="s">
        <v>2131</v>
      </c>
      <c r="D317" s="2">
        <v>46222</v>
      </c>
      <c r="E317" s="2">
        <v>46223</v>
      </c>
      <c r="F317">
        <f t="shared" si="4"/>
        <v>2</v>
      </c>
      <c r="G317" t="s">
        <v>2120</v>
      </c>
      <c r="H317" t="s">
        <v>2121</v>
      </c>
    </row>
    <row r="318" spans="1:8">
      <c r="A318" t="s">
        <v>2446</v>
      </c>
      <c r="B318" t="s">
        <v>1051</v>
      </c>
      <c r="C318" t="s">
        <v>2119</v>
      </c>
      <c r="D318" s="2">
        <v>46225</v>
      </c>
      <c r="E318" s="2">
        <v>46227</v>
      </c>
      <c r="F318">
        <f t="shared" si="4"/>
        <v>3</v>
      </c>
      <c r="G318" t="s">
        <v>2124</v>
      </c>
      <c r="H318" t="s">
        <v>2125</v>
      </c>
    </row>
    <row r="319" spans="1:8">
      <c r="A319" t="s">
        <v>2447</v>
      </c>
      <c r="B319" t="s">
        <v>1054</v>
      </c>
      <c r="C319" t="s">
        <v>2123</v>
      </c>
      <c r="D319" s="2">
        <v>46228</v>
      </c>
      <c r="E319" s="2">
        <v>46231</v>
      </c>
      <c r="F319">
        <f t="shared" si="4"/>
        <v>4</v>
      </c>
      <c r="G319" t="s">
        <v>2128</v>
      </c>
      <c r="H319" t="s">
        <v>2129</v>
      </c>
    </row>
    <row r="320" spans="1:8">
      <c r="A320" t="s">
        <v>2448</v>
      </c>
      <c r="B320" t="s">
        <v>1057</v>
      </c>
      <c r="C320" t="s">
        <v>2127</v>
      </c>
      <c r="D320" s="2">
        <v>46231</v>
      </c>
      <c r="E320" s="2">
        <v>46235</v>
      </c>
      <c r="F320">
        <f t="shared" si="4"/>
        <v>5</v>
      </c>
      <c r="G320" t="s">
        <v>2120</v>
      </c>
      <c r="H320" t="s">
        <v>2132</v>
      </c>
    </row>
    <row r="321" spans="1:8">
      <c r="A321" t="s">
        <v>2449</v>
      </c>
      <c r="B321" t="s">
        <v>1060</v>
      </c>
      <c r="C321" t="s">
        <v>2131</v>
      </c>
      <c r="D321" s="2">
        <v>46174</v>
      </c>
      <c r="E321" s="2">
        <v>46174</v>
      </c>
      <c r="F321">
        <f t="shared" si="4"/>
        <v>1</v>
      </c>
      <c r="G321" t="s">
        <v>2128</v>
      </c>
      <c r="H321" t="s">
        <v>2134</v>
      </c>
    </row>
    <row r="322" spans="1:8">
      <c r="A322" t="s">
        <v>2450</v>
      </c>
      <c r="B322" t="s">
        <v>1063</v>
      </c>
      <c r="C322" t="s">
        <v>2119</v>
      </c>
      <c r="D322" s="2">
        <v>46177</v>
      </c>
      <c r="E322" s="2">
        <v>46178</v>
      </c>
      <c r="F322">
        <f t="shared" ref="F322:F385" si="5">E322-D322+1</f>
        <v>2</v>
      </c>
      <c r="G322" t="s">
        <v>2120</v>
      </c>
      <c r="H322" t="s">
        <v>2121</v>
      </c>
    </row>
    <row r="323" spans="1:8">
      <c r="A323" t="s">
        <v>2451</v>
      </c>
      <c r="B323" t="s">
        <v>1066</v>
      </c>
      <c r="C323" t="s">
        <v>2123</v>
      </c>
      <c r="D323" s="2">
        <v>46180</v>
      </c>
      <c r="E323" s="2">
        <v>46182</v>
      </c>
      <c r="F323">
        <f t="shared" si="5"/>
        <v>3</v>
      </c>
      <c r="G323" t="s">
        <v>2124</v>
      </c>
      <c r="H323" t="s">
        <v>2125</v>
      </c>
    </row>
    <row r="324" spans="1:8">
      <c r="A324" t="s">
        <v>2452</v>
      </c>
      <c r="B324" t="s">
        <v>1069</v>
      </c>
      <c r="C324" t="s">
        <v>2127</v>
      </c>
      <c r="D324" s="2">
        <v>46183</v>
      </c>
      <c r="E324" s="2">
        <v>46186</v>
      </c>
      <c r="F324">
        <f t="shared" si="5"/>
        <v>4</v>
      </c>
      <c r="G324" t="s">
        <v>2128</v>
      </c>
      <c r="H324" t="s">
        <v>2129</v>
      </c>
    </row>
    <row r="325" spans="1:8">
      <c r="A325" t="s">
        <v>2453</v>
      </c>
      <c r="B325" t="s">
        <v>1072</v>
      </c>
      <c r="C325" t="s">
        <v>2131</v>
      </c>
      <c r="D325" s="2">
        <v>46186</v>
      </c>
      <c r="E325" s="2">
        <v>46190</v>
      </c>
      <c r="F325">
        <f t="shared" si="5"/>
        <v>5</v>
      </c>
      <c r="G325" t="s">
        <v>2120</v>
      </c>
      <c r="H325" t="s">
        <v>2132</v>
      </c>
    </row>
    <row r="326" spans="1:8">
      <c r="A326" t="s">
        <v>2454</v>
      </c>
      <c r="B326" t="s">
        <v>1075</v>
      </c>
      <c r="C326" t="s">
        <v>2119</v>
      </c>
      <c r="D326" s="2">
        <v>46189</v>
      </c>
      <c r="E326" s="2">
        <v>46189</v>
      </c>
      <c r="F326">
        <f t="shared" si="5"/>
        <v>1</v>
      </c>
      <c r="G326" t="s">
        <v>2128</v>
      </c>
      <c r="H326" t="s">
        <v>2134</v>
      </c>
    </row>
    <row r="327" spans="1:8">
      <c r="A327" t="s">
        <v>2455</v>
      </c>
      <c r="B327" t="s">
        <v>1078</v>
      </c>
      <c r="C327" t="s">
        <v>2123</v>
      </c>
      <c r="D327" s="2">
        <v>46192</v>
      </c>
      <c r="E327" s="2">
        <v>46193</v>
      </c>
      <c r="F327">
        <f t="shared" si="5"/>
        <v>2</v>
      </c>
      <c r="G327" t="s">
        <v>2120</v>
      </c>
      <c r="H327" t="s">
        <v>2121</v>
      </c>
    </row>
    <row r="328" spans="1:8">
      <c r="A328" t="s">
        <v>2456</v>
      </c>
      <c r="B328" t="s">
        <v>1081</v>
      </c>
      <c r="C328" t="s">
        <v>2127</v>
      </c>
      <c r="D328" s="2">
        <v>46195</v>
      </c>
      <c r="E328" s="2">
        <v>46197</v>
      </c>
      <c r="F328">
        <f t="shared" si="5"/>
        <v>3</v>
      </c>
      <c r="G328" t="s">
        <v>2124</v>
      </c>
      <c r="H328" t="s">
        <v>2125</v>
      </c>
    </row>
    <row r="329" spans="1:8">
      <c r="A329" t="s">
        <v>2457</v>
      </c>
      <c r="B329" t="s">
        <v>1084</v>
      </c>
      <c r="C329" t="s">
        <v>2131</v>
      </c>
      <c r="D329" s="2">
        <v>46198</v>
      </c>
      <c r="E329" s="2">
        <v>46201</v>
      </c>
      <c r="F329">
        <f t="shared" si="5"/>
        <v>4</v>
      </c>
      <c r="G329" t="s">
        <v>2128</v>
      </c>
      <c r="H329" t="s">
        <v>2129</v>
      </c>
    </row>
    <row r="330" spans="1:8">
      <c r="A330" t="s">
        <v>2458</v>
      </c>
      <c r="B330" t="s">
        <v>1087</v>
      </c>
      <c r="C330" t="s">
        <v>2119</v>
      </c>
      <c r="D330" s="2">
        <v>46201</v>
      </c>
      <c r="E330" s="2">
        <v>46205</v>
      </c>
      <c r="F330">
        <f t="shared" si="5"/>
        <v>5</v>
      </c>
      <c r="G330" t="s">
        <v>2120</v>
      </c>
      <c r="H330" t="s">
        <v>2132</v>
      </c>
    </row>
    <row r="331" spans="1:8">
      <c r="A331" t="s">
        <v>2459</v>
      </c>
      <c r="B331" t="s">
        <v>1090</v>
      </c>
      <c r="C331" t="s">
        <v>2123</v>
      </c>
      <c r="D331" s="2">
        <v>46204</v>
      </c>
      <c r="E331" s="2">
        <v>46204</v>
      </c>
      <c r="F331">
        <f t="shared" si="5"/>
        <v>1</v>
      </c>
      <c r="G331" t="s">
        <v>2128</v>
      </c>
      <c r="H331" t="s">
        <v>2134</v>
      </c>
    </row>
    <row r="332" spans="1:8">
      <c r="A332" t="s">
        <v>2460</v>
      </c>
      <c r="B332" t="s">
        <v>1093</v>
      </c>
      <c r="C332" t="s">
        <v>2127</v>
      </c>
      <c r="D332" s="2">
        <v>46207</v>
      </c>
      <c r="E332" s="2">
        <v>46208</v>
      </c>
      <c r="F332">
        <f t="shared" si="5"/>
        <v>2</v>
      </c>
      <c r="G332" t="s">
        <v>2120</v>
      </c>
      <c r="H332" t="s">
        <v>2121</v>
      </c>
    </row>
    <row r="333" spans="1:8">
      <c r="A333" t="s">
        <v>2461</v>
      </c>
      <c r="B333" t="s">
        <v>1096</v>
      </c>
      <c r="C333" t="s">
        <v>2131</v>
      </c>
      <c r="D333" s="2">
        <v>46210</v>
      </c>
      <c r="E333" s="2">
        <v>46212</v>
      </c>
      <c r="F333">
        <f t="shared" si="5"/>
        <v>3</v>
      </c>
      <c r="G333" t="s">
        <v>2124</v>
      </c>
      <c r="H333" t="s">
        <v>2125</v>
      </c>
    </row>
    <row r="334" spans="1:8">
      <c r="A334" t="s">
        <v>2462</v>
      </c>
      <c r="B334" t="s">
        <v>1099</v>
      </c>
      <c r="C334" t="s">
        <v>2119</v>
      </c>
      <c r="D334" s="2">
        <v>46213</v>
      </c>
      <c r="E334" s="2">
        <v>46216</v>
      </c>
      <c r="F334">
        <f t="shared" si="5"/>
        <v>4</v>
      </c>
      <c r="G334" t="s">
        <v>2128</v>
      </c>
      <c r="H334" t="s">
        <v>2129</v>
      </c>
    </row>
    <row r="335" spans="1:8">
      <c r="A335" t="s">
        <v>2463</v>
      </c>
      <c r="B335" t="s">
        <v>1102</v>
      </c>
      <c r="C335" t="s">
        <v>2123</v>
      </c>
      <c r="D335" s="2">
        <v>46216</v>
      </c>
      <c r="E335" s="2">
        <v>46220</v>
      </c>
      <c r="F335">
        <f t="shared" si="5"/>
        <v>5</v>
      </c>
      <c r="G335" t="s">
        <v>2120</v>
      </c>
      <c r="H335" t="s">
        <v>2132</v>
      </c>
    </row>
    <row r="336" spans="1:8">
      <c r="A336" t="s">
        <v>2464</v>
      </c>
      <c r="B336" t="s">
        <v>1105</v>
      </c>
      <c r="C336" t="s">
        <v>2127</v>
      </c>
      <c r="D336" s="2">
        <v>46219</v>
      </c>
      <c r="E336" s="2">
        <v>46219</v>
      </c>
      <c r="F336">
        <f t="shared" si="5"/>
        <v>1</v>
      </c>
      <c r="G336" t="s">
        <v>2128</v>
      </c>
      <c r="H336" t="s">
        <v>2134</v>
      </c>
    </row>
    <row r="337" spans="1:8">
      <c r="A337" t="s">
        <v>2465</v>
      </c>
      <c r="B337" t="s">
        <v>1108</v>
      </c>
      <c r="C337" t="s">
        <v>2131</v>
      </c>
      <c r="D337" s="2">
        <v>46222</v>
      </c>
      <c r="E337" s="2">
        <v>46223</v>
      </c>
      <c r="F337">
        <f t="shared" si="5"/>
        <v>2</v>
      </c>
      <c r="G337" t="s">
        <v>2120</v>
      </c>
      <c r="H337" t="s">
        <v>2121</v>
      </c>
    </row>
    <row r="338" spans="1:8">
      <c r="A338" t="s">
        <v>2466</v>
      </c>
      <c r="B338" t="s">
        <v>1111</v>
      </c>
      <c r="C338" t="s">
        <v>2119</v>
      </c>
      <c r="D338" s="2">
        <v>46225</v>
      </c>
      <c r="E338" s="2">
        <v>46227</v>
      </c>
      <c r="F338">
        <f t="shared" si="5"/>
        <v>3</v>
      </c>
      <c r="G338" t="s">
        <v>2124</v>
      </c>
      <c r="H338" t="s">
        <v>2125</v>
      </c>
    </row>
    <row r="339" spans="1:8">
      <c r="A339" t="s">
        <v>2467</v>
      </c>
      <c r="B339" t="s">
        <v>1114</v>
      </c>
      <c r="C339" t="s">
        <v>2123</v>
      </c>
      <c r="D339" s="2">
        <v>46228</v>
      </c>
      <c r="E339" s="2">
        <v>46231</v>
      </c>
      <c r="F339">
        <f t="shared" si="5"/>
        <v>4</v>
      </c>
      <c r="G339" t="s">
        <v>2128</v>
      </c>
      <c r="H339" t="s">
        <v>2129</v>
      </c>
    </row>
    <row r="340" spans="1:8">
      <c r="A340" t="s">
        <v>2468</v>
      </c>
      <c r="B340" t="s">
        <v>1117</v>
      </c>
      <c r="C340" t="s">
        <v>2127</v>
      </c>
      <c r="D340" s="2">
        <v>46231</v>
      </c>
      <c r="E340" s="2">
        <v>46235</v>
      </c>
      <c r="F340">
        <f t="shared" si="5"/>
        <v>5</v>
      </c>
      <c r="G340" t="s">
        <v>2120</v>
      </c>
      <c r="H340" t="s">
        <v>2132</v>
      </c>
    </row>
    <row r="341" spans="1:8">
      <c r="A341" t="s">
        <v>2469</v>
      </c>
      <c r="B341" t="s">
        <v>1120</v>
      </c>
      <c r="C341" t="s">
        <v>2131</v>
      </c>
      <c r="D341" s="2">
        <v>46174</v>
      </c>
      <c r="E341" s="2">
        <v>46174</v>
      </c>
      <c r="F341">
        <f t="shared" si="5"/>
        <v>1</v>
      </c>
      <c r="G341" t="s">
        <v>2128</v>
      </c>
      <c r="H341" t="s">
        <v>2134</v>
      </c>
    </row>
    <row r="342" spans="1:8">
      <c r="A342" t="s">
        <v>2470</v>
      </c>
      <c r="B342" t="s">
        <v>1123</v>
      </c>
      <c r="C342" t="s">
        <v>2119</v>
      </c>
      <c r="D342" s="2">
        <v>46177</v>
      </c>
      <c r="E342" s="2">
        <v>46178</v>
      </c>
      <c r="F342">
        <f t="shared" si="5"/>
        <v>2</v>
      </c>
      <c r="G342" t="s">
        <v>2120</v>
      </c>
      <c r="H342" t="s">
        <v>2121</v>
      </c>
    </row>
    <row r="343" spans="1:8">
      <c r="A343" t="s">
        <v>2471</v>
      </c>
      <c r="B343" t="s">
        <v>1126</v>
      </c>
      <c r="C343" t="s">
        <v>2123</v>
      </c>
      <c r="D343" s="2">
        <v>46180</v>
      </c>
      <c r="E343" s="2">
        <v>46182</v>
      </c>
      <c r="F343">
        <f t="shared" si="5"/>
        <v>3</v>
      </c>
      <c r="G343" t="s">
        <v>2124</v>
      </c>
      <c r="H343" t="s">
        <v>2125</v>
      </c>
    </row>
    <row r="344" spans="1:8">
      <c r="A344" t="s">
        <v>2472</v>
      </c>
      <c r="B344" t="s">
        <v>1129</v>
      </c>
      <c r="C344" t="s">
        <v>2127</v>
      </c>
      <c r="D344" s="2">
        <v>46183</v>
      </c>
      <c r="E344" s="2">
        <v>46186</v>
      </c>
      <c r="F344">
        <f t="shared" si="5"/>
        <v>4</v>
      </c>
      <c r="G344" t="s">
        <v>2128</v>
      </c>
      <c r="H344" t="s">
        <v>2129</v>
      </c>
    </row>
    <row r="345" spans="1:8">
      <c r="A345" t="s">
        <v>2473</v>
      </c>
      <c r="B345" t="s">
        <v>1132</v>
      </c>
      <c r="C345" t="s">
        <v>2131</v>
      </c>
      <c r="D345" s="2">
        <v>46186</v>
      </c>
      <c r="E345" s="2">
        <v>46190</v>
      </c>
      <c r="F345">
        <f t="shared" si="5"/>
        <v>5</v>
      </c>
      <c r="G345" t="s">
        <v>2120</v>
      </c>
      <c r="H345" t="s">
        <v>2132</v>
      </c>
    </row>
    <row r="346" spans="1:8">
      <c r="A346" t="s">
        <v>2474</v>
      </c>
      <c r="B346" t="s">
        <v>1135</v>
      </c>
      <c r="C346" t="s">
        <v>2119</v>
      </c>
      <c r="D346" s="2">
        <v>46189</v>
      </c>
      <c r="E346" s="2">
        <v>46189</v>
      </c>
      <c r="F346">
        <f t="shared" si="5"/>
        <v>1</v>
      </c>
      <c r="G346" t="s">
        <v>2128</v>
      </c>
      <c r="H346" t="s">
        <v>2134</v>
      </c>
    </row>
    <row r="347" spans="1:8">
      <c r="A347" t="s">
        <v>2475</v>
      </c>
      <c r="B347" t="s">
        <v>1138</v>
      </c>
      <c r="C347" t="s">
        <v>2123</v>
      </c>
      <c r="D347" s="2">
        <v>46192</v>
      </c>
      <c r="E347" s="2">
        <v>46193</v>
      </c>
      <c r="F347">
        <f t="shared" si="5"/>
        <v>2</v>
      </c>
      <c r="G347" t="s">
        <v>2120</v>
      </c>
      <c r="H347" t="s">
        <v>2121</v>
      </c>
    </row>
    <row r="348" spans="1:8">
      <c r="A348" t="s">
        <v>2476</v>
      </c>
      <c r="B348" t="s">
        <v>1141</v>
      </c>
      <c r="C348" t="s">
        <v>2127</v>
      </c>
      <c r="D348" s="2">
        <v>46195</v>
      </c>
      <c r="E348" s="2">
        <v>46197</v>
      </c>
      <c r="F348">
        <f t="shared" si="5"/>
        <v>3</v>
      </c>
      <c r="G348" t="s">
        <v>2124</v>
      </c>
      <c r="H348" t="s">
        <v>2125</v>
      </c>
    </row>
    <row r="349" spans="1:8">
      <c r="A349" t="s">
        <v>2477</v>
      </c>
      <c r="B349" t="s">
        <v>1144</v>
      </c>
      <c r="C349" t="s">
        <v>2131</v>
      </c>
      <c r="D349" s="2">
        <v>46198</v>
      </c>
      <c r="E349" s="2">
        <v>46201</v>
      </c>
      <c r="F349">
        <f t="shared" si="5"/>
        <v>4</v>
      </c>
      <c r="G349" t="s">
        <v>2128</v>
      </c>
      <c r="H349" t="s">
        <v>2129</v>
      </c>
    </row>
    <row r="350" spans="1:8">
      <c r="A350" t="s">
        <v>2478</v>
      </c>
      <c r="B350" t="s">
        <v>1147</v>
      </c>
      <c r="C350" t="s">
        <v>2119</v>
      </c>
      <c r="D350" s="2">
        <v>46201</v>
      </c>
      <c r="E350" s="2">
        <v>46205</v>
      </c>
      <c r="F350">
        <f t="shared" si="5"/>
        <v>5</v>
      </c>
      <c r="G350" t="s">
        <v>2120</v>
      </c>
      <c r="H350" t="s">
        <v>2132</v>
      </c>
    </row>
    <row r="351" spans="1:8">
      <c r="A351" t="s">
        <v>2479</v>
      </c>
      <c r="B351" t="s">
        <v>1150</v>
      </c>
      <c r="C351" t="s">
        <v>2123</v>
      </c>
      <c r="D351" s="2">
        <v>46204</v>
      </c>
      <c r="E351" s="2">
        <v>46204</v>
      </c>
      <c r="F351">
        <f t="shared" si="5"/>
        <v>1</v>
      </c>
      <c r="G351" t="s">
        <v>2128</v>
      </c>
      <c r="H351" t="s">
        <v>2134</v>
      </c>
    </row>
    <row r="352" spans="1:8">
      <c r="A352" t="s">
        <v>2480</v>
      </c>
      <c r="B352" t="s">
        <v>1153</v>
      </c>
      <c r="C352" t="s">
        <v>2127</v>
      </c>
      <c r="D352" s="2">
        <v>46207</v>
      </c>
      <c r="E352" s="2">
        <v>46208</v>
      </c>
      <c r="F352">
        <f t="shared" si="5"/>
        <v>2</v>
      </c>
      <c r="G352" t="s">
        <v>2120</v>
      </c>
      <c r="H352" t="s">
        <v>2121</v>
      </c>
    </row>
    <row r="353" spans="1:8">
      <c r="A353" t="s">
        <v>2481</v>
      </c>
      <c r="B353" t="s">
        <v>1156</v>
      </c>
      <c r="C353" t="s">
        <v>2131</v>
      </c>
      <c r="D353" s="2">
        <v>46210</v>
      </c>
      <c r="E353" s="2">
        <v>46212</v>
      </c>
      <c r="F353">
        <f t="shared" si="5"/>
        <v>3</v>
      </c>
      <c r="G353" t="s">
        <v>2124</v>
      </c>
      <c r="H353" t="s">
        <v>2125</v>
      </c>
    </row>
    <row r="354" spans="1:8">
      <c r="A354" t="s">
        <v>2482</v>
      </c>
      <c r="B354" t="s">
        <v>1159</v>
      </c>
      <c r="C354" t="s">
        <v>2119</v>
      </c>
      <c r="D354" s="2">
        <v>46213</v>
      </c>
      <c r="E354" s="2">
        <v>46216</v>
      </c>
      <c r="F354">
        <f t="shared" si="5"/>
        <v>4</v>
      </c>
      <c r="G354" t="s">
        <v>2128</v>
      </c>
      <c r="H354" t="s">
        <v>2129</v>
      </c>
    </row>
    <row r="355" spans="1:8">
      <c r="A355" t="s">
        <v>2483</v>
      </c>
      <c r="B355" t="s">
        <v>1162</v>
      </c>
      <c r="C355" t="s">
        <v>2123</v>
      </c>
      <c r="D355" s="2">
        <v>46216</v>
      </c>
      <c r="E355" s="2">
        <v>46220</v>
      </c>
      <c r="F355">
        <f t="shared" si="5"/>
        <v>5</v>
      </c>
      <c r="G355" t="s">
        <v>2120</v>
      </c>
      <c r="H355" t="s">
        <v>2132</v>
      </c>
    </row>
    <row r="356" spans="1:8">
      <c r="A356" t="s">
        <v>2484</v>
      </c>
      <c r="B356" t="s">
        <v>1165</v>
      </c>
      <c r="C356" t="s">
        <v>2127</v>
      </c>
      <c r="D356" s="2">
        <v>46219</v>
      </c>
      <c r="E356" s="2">
        <v>46219</v>
      </c>
      <c r="F356">
        <f t="shared" si="5"/>
        <v>1</v>
      </c>
      <c r="G356" t="s">
        <v>2128</v>
      </c>
      <c r="H356" t="s">
        <v>2134</v>
      </c>
    </row>
    <row r="357" spans="1:8">
      <c r="A357" t="s">
        <v>2485</v>
      </c>
      <c r="B357" t="s">
        <v>1168</v>
      </c>
      <c r="C357" t="s">
        <v>2131</v>
      </c>
      <c r="D357" s="2">
        <v>46222</v>
      </c>
      <c r="E357" s="2">
        <v>46223</v>
      </c>
      <c r="F357">
        <f t="shared" si="5"/>
        <v>2</v>
      </c>
      <c r="G357" t="s">
        <v>2120</v>
      </c>
      <c r="H357" t="s">
        <v>2121</v>
      </c>
    </row>
    <row r="358" spans="1:8">
      <c r="A358" t="s">
        <v>2486</v>
      </c>
      <c r="B358" t="s">
        <v>1171</v>
      </c>
      <c r="C358" t="s">
        <v>2119</v>
      </c>
      <c r="D358" s="2">
        <v>46225</v>
      </c>
      <c r="E358" s="2">
        <v>46227</v>
      </c>
      <c r="F358">
        <f t="shared" si="5"/>
        <v>3</v>
      </c>
      <c r="G358" t="s">
        <v>2124</v>
      </c>
      <c r="H358" t="s">
        <v>2125</v>
      </c>
    </row>
    <row r="359" spans="1:8">
      <c r="A359" t="s">
        <v>2487</v>
      </c>
      <c r="B359" t="s">
        <v>1174</v>
      </c>
      <c r="C359" t="s">
        <v>2123</v>
      </c>
      <c r="D359" s="2">
        <v>46228</v>
      </c>
      <c r="E359" s="2">
        <v>46231</v>
      </c>
      <c r="F359">
        <f t="shared" si="5"/>
        <v>4</v>
      </c>
      <c r="G359" t="s">
        <v>2128</v>
      </c>
      <c r="H359" t="s">
        <v>2129</v>
      </c>
    </row>
    <row r="360" spans="1:8">
      <c r="A360" t="s">
        <v>2488</v>
      </c>
      <c r="B360" t="s">
        <v>1177</v>
      </c>
      <c r="C360" t="s">
        <v>2127</v>
      </c>
      <c r="D360" s="2">
        <v>46231</v>
      </c>
      <c r="E360" s="2">
        <v>46235</v>
      </c>
      <c r="F360">
        <f t="shared" si="5"/>
        <v>5</v>
      </c>
      <c r="G360" t="s">
        <v>2120</v>
      </c>
      <c r="H360" t="s">
        <v>2132</v>
      </c>
    </row>
    <row r="361" spans="1:8">
      <c r="A361" t="s">
        <v>2489</v>
      </c>
      <c r="B361" t="s">
        <v>1180</v>
      </c>
      <c r="C361" t="s">
        <v>2131</v>
      </c>
      <c r="D361" s="2">
        <v>46174</v>
      </c>
      <c r="E361" s="2">
        <v>46174</v>
      </c>
      <c r="F361">
        <f t="shared" si="5"/>
        <v>1</v>
      </c>
      <c r="G361" t="s">
        <v>2128</v>
      </c>
      <c r="H361" t="s">
        <v>2134</v>
      </c>
    </row>
    <row r="362" spans="1:8">
      <c r="A362" t="s">
        <v>2490</v>
      </c>
      <c r="B362" t="s">
        <v>1183</v>
      </c>
      <c r="C362" t="s">
        <v>2119</v>
      </c>
      <c r="D362" s="2">
        <v>46177</v>
      </c>
      <c r="E362" s="2">
        <v>46178</v>
      </c>
      <c r="F362">
        <f t="shared" si="5"/>
        <v>2</v>
      </c>
      <c r="G362" t="s">
        <v>2120</v>
      </c>
      <c r="H362" t="s">
        <v>2121</v>
      </c>
    </row>
    <row r="363" spans="1:8">
      <c r="A363" t="s">
        <v>2491</v>
      </c>
      <c r="B363" t="s">
        <v>1186</v>
      </c>
      <c r="C363" t="s">
        <v>2123</v>
      </c>
      <c r="D363" s="2">
        <v>46180</v>
      </c>
      <c r="E363" s="2">
        <v>46182</v>
      </c>
      <c r="F363">
        <f t="shared" si="5"/>
        <v>3</v>
      </c>
      <c r="G363" t="s">
        <v>2124</v>
      </c>
      <c r="H363" t="s">
        <v>2125</v>
      </c>
    </row>
    <row r="364" spans="1:8">
      <c r="A364" t="s">
        <v>2492</v>
      </c>
      <c r="B364" t="s">
        <v>1189</v>
      </c>
      <c r="C364" t="s">
        <v>2127</v>
      </c>
      <c r="D364" s="2">
        <v>46183</v>
      </c>
      <c r="E364" s="2">
        <v>46186</v>
      </c>
      <c r="F364">
        <f t="shared" si="5"/>
        <v>4</v>
      </c>
      <c r="G364" t="s">
        <v>2128</v>
      </c>
      <c r="H364" t="s">
        <v>2129</v>
      </c>
    </row>
    <row r="365" spans="1:8">
      <c r="A365" t="s">
        <v>2493</v>
      </c>
      <c r="B365" t="s">
        <v>1192</v>
      </c>
      <c r="C365" t="s">
        <v>2131</v>
      </c>
      <c r="D365" s="2">
        <v>46186</v>
      </c>
      <c r="E365" s="2">
        <v>46190</v>
      </c>
      <c r="F365">
        <f t="shared" si="5"/>
        <v>5</v>
      </c>
      <c r="G365" t="s">
        <v>2120</v>
      </c>
      <c r="H365" t="s">
        <v>2132</v>
      </c>
    </row>
    <row r="366" spans="1:8">
      <c r="A366" t="s">
        <v>2494</v>
      </c>
      <c r="B366" t="s">
        <v>1195</v>
      </c>
      <c r="C366" t="s">
        <v>2119</v>
      </c>
      <c r="D366" s="2">
        <v>46189</v>
      </c>
      <c r="E366" s="2">
        <v>46189</v>
      </c>
      <c r="F366">
        <f t="shared" si="5"/>
        <v>1</v>
      </c>
      <c r="G366" t="s">
        <v>2128</v>
      </c>
      <c r="H366" t="s">
        <v>2134</v>
      </c>
    </row>
    <row r="367" spans="1:8">
      <c r="A367" t="s">
        <v>2495</v>
      </c>
      <c r="B367" t="s">
        <v>1198</v>
      </c>
      <c r="C367" t="s">
        <v>2123</v>
      </c>
      <c r="D367" s="2">
        <v>46192</v>
      </c>
      <c r="E367" s="2">
        <v>46193</v>
      </c>
      <c r="F367">
        <f t="shared" si="5"/>
        <v>2</v>
      </c>
      <c r="G367" t="s">
        <v>2120</v>
      </c>
      <c r="H367" t="s">
        <v>2121</v>
      </c>
    </row>
    <row r="368" spans="1:8">
      <c r="A368" t="s">
        <v>2496</v>
      </c>
      <c r="B368" t="s">
        <v>1201</v>
      </c>
      <c r="C368" t="s">
        <v>2127</v>
      </c>
      <c r="D368" s="2">
        <v>46195</v>
      </c>
      <c r="E368" s="2">
        <v>46197</v>
      </c>
      <c r="F368">
        <f t="shared" si="5"/>
        <v>3</v>
      </c>
      <c r="G368" t="s">
        <v>2124</v>
      </c>
      <c r="H368" t="s">
        <v>2125</v>
      </c>
    </row>
    <row r="369" spans="1:8">
      <c r="A369" t="s">
        <v>2497</v>
      </c>
      <c r="B369" t="s">
        <v>1204</v>
      </c>
      <c r="C369" t="s">
        <v>2131</v>
      </c>
      <c r="D369" s="2">
        <v>46198</v>
      </c>
      <c r="E369" s="2">
        <v>46201</v>
      </c>
      <c r="F369">
        <f t="shared" si="5"/>
        <v>4</v>
      </c>
      <c r="G369" t="s">
        <v>2128</v>
      </c>
      <c r="H369" t="s">
        <v>2129</v>
      </c>
    </row>
    <row r="370" spans="1:8">
      <c r="A370" t="s">
        <v>2498</v>
      </c>
      <c r="B370" t="s">
        <v>1207</v>
      </c>
      <c r="C370" t="s">
        <v>2119</v>
      </c>
      <c r="D370" s="2">
        <v>46201</v>
      </c>
      <c r="E370" s="2">
        <v>46205</v>
      </c>
      <c r="F370">
        <f t="shared" si="5"/>
        <v>5</v>
      </c>
      <c r="G370" t="s">
        <v>2120</v>
      </c>
      <c r="H370" t="s">
        <v>2132</v>
      </c>
    </row>
    <row r="371" spans="1:8">
      <c r="A371" t="s">
        <v>2499</v>
      </c>
      <c r="B371" t="s">
        <v>1210</v>
      </c>
      <c r="C371" t="s">
        <v>2123</v>
      </c>
      <c r="D371" s="2">
        <v>46204</v>
      </c>
      <c r="E371" s="2">
        <v>46204</v>
      </c>
      <c r="F371">
        <f t="shared" si="5"/>
        <v>1</v>
      </c>
      <c r="G371" t="s">
        <v>2128</v>
      </c>
      <c r="H371" t="s">
        <v>2134</v>
      </c>
    </row>
    <row r="372" spans="1:8">
      <c r="A372" t="s">
        <v>2500</v>
      </c>
      <c r="B372" t="s">
        <v>1213</v>
      </c>
      <c r="C372" t="s">
        <v>2127</v>
      </c>
      <c r="D372" s="2">
        <v>46207</v>
      </c>
      <c r="E372" s="2">
        <v>46208</v>
      </c>
      <c r="F372">
        <f t="shared" si="5"/>
        <v>2</v>
      </c>
      <c r="G372" t="s">
        <v>2120</v>
      </c>
      <c r="H372" t="s">
        <v>2121</v>
      </c>
    </row>
    <row r="373" spans="1:8">
      <c r="A373" t="s">
        <v>2501</v>
      </c>
      <c r="B373" t="s">
        <v>1216</v>
      </c>
      <c r="C373" t="s">
        <v>2131</v>
      </c>
      <c r="D373" s="2">
        <v>46210</v>
      </c>
      <c r="E373" s="2">
        <v>46212</v>
      </c>
      <c r="F373">
        <f t="shared" si="5"/>
        <v>3</v>
      </c>
      <c r="G373" t="s">
        <v>2124</v>
      </c>
      <c r="H373" t="s">
        <v>2125</v>
      </c>
    </row>
    <row r="374" spans="1:8">
      <c r="A374" t="s">
        <v>2502</v>
      </c>
      <c r="B374" t="s">
        <v>1219</v>
      </c>
      <c r="C374" t="s">
        <v>2119</v>
      </c>
      <c r="D374" s="2">
        <v>46213</v>
      </c>
      <c r="E374" s="2">
        <v>46216</v>
      </c>
      <c r="F374">
        <f t="shared" si="5"/>
        <v>4</v>
      </c>
      <c r="G374" t="s">
        <v>2128</v>
      </c>
      <c r="H374" t="s">
        <v>2129</v>
      </c>
    </row>
    <row r="375" spans="1:8">
      <c r="A375" t="s">
        <v>2503</v>
      </c>
      <c r="B375" t="s">
        <v>1222</v>
      </c>
      <c r="C375" t="s">
        <v>2123</v>
      </c>
      <c r="D375" s="2">
        <v>46216</v>
      </c>
      <c r="E375" s="2">
        <v>46220</v>
      </c>
      <c r="F375">
        <f t="shared" si="5"/>
        <v>5</v>
      </c>
      <c r="G375" t="s">
        <v>2120</v>
      </c>
      <c r="H375" t="s">
        <v>2132</v>
      </c>
    </row>
    <row r="376" spans="1:8">
      <c r="A376" t="s">
        <v>2504</v>
      </c>
      <c r="B376" t="s">
        <v>1225</v>
      </c>
      <c r="C376" t="s">
        <v>2127</v>
      </c>
      <c r="D376" s="2">
        <v>46219</v>
      </c>
      <c r="E376" s="2">
        <v>46219</v>
      </c>
      <c r="F376">
        <f t="shared" si="5"/>
        <v>1</v>
      </c>
      <c r="G376" t="s">
        <v>2128</v>
      </c>
      <c r="H376" t="s">
        <v>2134</v>
      </c>
    </row>
    <row r="377" spans="1:8">
      <c r="A377" t="s">
        <v>2505</v>
      </c>
      <c r="B377" t="s">
        <v>1228</v>
      </c>
      <c r="C377" t="s">
        <v>2131</v>
      </c>
      <c r="D377" s="2">
        <v>46222</v>
      </c>
      <c r="E377" s="2">
        <v>46223</v>
      </c>
      <c r="F377">
        <f t="shared" si="5"/>
        <v>2</v>
      </c>
      <c r="G377" t="s">
        <v>2120</v>
      </c>
      <c r="H377" t="s">
        <v>2121</v>
      </c>
    </row>
    <row r="378" spans="1:8">
      <c r="A378" t="s">
        <v>2506</v>
      </c>
      <c r="B378" t="s">
        <v>1231</v>
      </c>
      <c r="C378" t="s">
        <v>2119</v>
      </c>
      <c r="D378" s="2">
        <v>46225</v>
      </c>
      <c r="E378" s="2">
        <v>46227</v>
      </c>
      <c r="F378">
        <f t="shared" si="5"/>
        <v>3</v>
      </c>
      <c r="G378" t="s">
        <v>2124</v>
      </c>
      <c r="H378" t="s">
        <v>2125</v>
      </c>
    </row>
    <row r="379" spans="1:8">
      <c r="A379" t="s">
        <v>2507</v>
      </c>
      <c r="B379" t="s">
        <v>1234</v>
      </c>
      <c r="C379" t="s">
        <v>2123</v>
      </c>
      <c r="D379" s="2">
        <v>46228</v>
      </c>
      <c r="E379" s="2">
        <v>46231</v>
      </c>
      <c r="F379">
        <f t="shared" si="5"/>
        <v>4</v>
      </c>
      <c r="G379" t="s">
        <v>2128</v>
      </c>
      <c r="H379" t="s">
        <v>2129</v>
      </c>
    </row>
    <row r="380" spans="1:8">
      <c r="A380" t="s">
        <v>2508</v>
      </c>
      <c r="B380" t="s">
        <v>1237</v>
      </c>
      <c r="C380" t="s">
        <v>2127</v>
      </c>
      <c r="D380" s="2">
        <v>46231</v>
      </c>
      <c r="E380" s="2">
        <v>46235</v>
      </c>
      <c r="F380">
        <f t="shared" si="5"/>
        <v>5</v>
      </c>
      <c r="G380" t="s">
        <v>2120</v>
      </c>
      <c r="H380" t="s">
        <v>2132</v>
      </c>
    </row>
    <row r="381" spans="1:8">
      <c r="A381" t="s">
        <v>2509</v>
      </c>
      <c r="B381" t="s">
        <v>1240</v>
      </c>
      <c r="C381" t="s">
        <v>2131</v>
      </c>
      <c r="D381" s="2">
        <v>46174</v>
      </c>
      <c r="E381" s="2">
        <v>46174</v>
      </c>
      <c r="F381">
        <f t="shared" si="5"/>
        <v>1</v>
      </c>
      <c r="G381" t="s">
        <v>2128</v>
      </c>
      <c r="H381" t="s">
        <v>2134</v>
      </c>
    </row>
    <row r="382" spans="1:8">
      <c r="A382" t="s">
        <v>2510</v>
      </c>
      <c r="B382" t="s">
        <v>1243</v>
      </c>
      <c r="C382" t="s">
        <v>2119</v>
      </c>
      <c r="D382" s="2">
        <v>46177</v>
      </c>
      <c r="E382" s="2">
        <v>46178</v>
      </c>
      <c r="F382">
        <f t="shared" si="5"/>
        <v>2</v>
      </c>
      <c r="G382" t="s">
        <v>2120</v>
      </c>
      <c r="H382" t="s">
        <v>2121</v>
      </c>
    </row>
    <row r="383" spans="1:8">
      <c r="A383" t="s">
        <v>2511</v>
      </c>
      <c r="B383" t="s">
        <v>1246</v>
      </c>
      <c r="C383" t="s">
        <v>2123</v>
      </c>
      <c r="D383" s="2">
        <v>46180</v>
      </c>
      <c r="E383" s="2">
        <v>46182</v>
      </c>
      <c r="F383">
        <f t="shared" si="5"/>
        <v>3</v>
      </c>
      <c r="G383" t="s">
        <v>2124</v>
      </c>
      <c r="H383" t="s">
        <v>2125</v>
      </c>
    </row>
    <row r="384" spans="1:8">
      <c r="A384" t="s">
        <v>2512</v>
      </c>
      <c r="B384" t="s">
        <v>1249</v>
      </c>
      <c r="C384" t="s">
        <v>2127</v>
      </c>
      <c r="D384" s="2">
        <v>46183</v>
      </c>
      <c r="E384" s="2">
        <v>46186</v>
      </c>
      <c r="F384">
        <f t="shared" si="5"/>
        <v>4</v>
      </c>
      <c r="G384" t="s">
        <v>2128</v>
      </c>
      <c r="H384" t="s">
        <v>2129</v>
      </c>
    </row>
    <row r="385" spans="1:8">
      <c r="A385" t="s">
        <v>2513</v>
      </c>
      <c r="B385" t="s">
        <v>1252</v>
      </c>
      <c r="C385" t="s">
        <v>2131</v>
      </c>
      <c r="D385" s="2">
        <v>46186</v>
      </c>
      <c r="E385" s="2">
        <v>46190</v>
      </c>
      <c r="F385">
        <f t="shared" si="5"/>
        <v>5</v>
      </c>
      <c r="G385" t="s">
        <v>2120</v>
      </c>
      <c r="H385" t="s">
        <v>2132</v>
      </c>
    </row>
    <row r="386" spans="1:8">
      <c r="A386" t="s">
        <v>2514</v>
      </c>
      <c r="B386" t="s">
        <v>1255</v>
      </c>
      <c r="C386" t="s">
        <v>2119</v>
      </c>
      <c r="D386" s="2">
        <v>46189</v>
      </c>
      <c r="E386" s="2">
        <v>46189</v>
      </c>
      <c r="F386">
        <f t="shared" ref="F386:F449" si="6">E386-D386+1</f>
        <v>1</v>
      </c>
      <c r="G386" t="s">
        <v>2128</v>
      </c>
      <c r="H386" t="s">
        <v>2134</v>
      </c>
    </row>
    <row r="387" spans="1:8">
      <c r="A387" t="s">
        <v>2515</v>
      </c>
      <c r="B387" t="s">
        <v>1258</v>
      </c>
      <c r="C387" t="s">
        <v>2123</v>
      </c>
      <c r="D387" s="2">
        <v>46192</v>
      </c>
      <c r="E387" s="2">
        <v>46193</v>
      </c>
      <c r="F387">
        <f t="shared" si="6"/>
        <v>2</v>
      </c>
      <c r="G387" t="s">
        <v>2120</v>
      </c>
      <c r="H387" t="s">
        <v>2121</v>
      </c>
    </row>
    <row r="388" spans="1:8">
      <c r="A388" t="s">
        <v>2516</v>
      </c>
      <c r="B388" t="s">
        <v>1261</v>
      </c>
      <c r="C388" t="s">
        <v>2127</v>
      </c>
      <c r="D388" s="2">
        <v>46195</v>
      </c>
      <c r="E388" s="2">
        <v>46197</v>
      </c>
      <c r="F388">
        <f t="shared" si="6"/>
        <v>3</v>
      </c>
      <c r="G388" t="s">
        <v>2124</v>
      </c>
      <c r="H388" t="s">
        <v>2125</v>
      </c>
    </row>
    <row r="389" spans="1:8">
      <c r="A389" t="s">
        <v>2517</v>
      </c>
      <c r="B389" t="s">
        <v>1264</v>
      </c>
      <c r="C389" t="s">
        <v>2131</v>
      </c>
      <c r="D389" s="2">
        <v>46198</v>
      </c>
      <c r="E389" s="2">
        <v>46201</v>
      </c>
      <c r="F389">
        <f t="shared" si="6"/>
        <v>4</v>
      </c>
      <c r="G389" t="s">
        <v>2128</v>
      </c>
      <c r="H389" t="s">
        <v>2129</v>
      </c>
    </row>
    <row r="390" spans="1:8">
      <c r="A390" t="s">
        <v>2518</v>
      </c>
      <c r="B390" t="s">
        <v>1267</v>
      </c>
      <c r="C390" t="s">
        <v>2119</v>
      </c>
      <c r="D390" s="2">
        <v>46201</v>
      </c>
      <c r="E390" s="2">
        <v>46205</v>
      </c>
      <c r="F390">
        <f t="shared" si="6"/>
        <v>5</v>
      </c>
      <c r="G390" t="s">
        <v>2120</v>
      </c>
      <c r="H390" t="s">
        <v>2132</v>
      </c>
    </row>
    <row r="391" spans="1:8">
      <c r="A391" t="s">
        <v>2519</v>
      </c>
      <c r="B391" t="s">
        <v>1270</v>
      </c>
      <c r="C391" t="s">
        <v>2123</v>
      </c>
      <c r="D391" s="2">
        <v>46204</v>
      </c>
      <c r="E391" s="2">
        <v>46204</v>
      </c>
      <c r="F391">
        <f t="shared" si="6"/>
        <v>1</v>
      </c>
      <c r="G391" t="s">
        <v>2128</v>
      </c>
      <c r="H391" t="s">
        <v>2134</v>
      </c>
    </row>
    <row r="392" spans="1:8">
      <c r="A392" t="s">
        <v>2520</v>
      </c>
      <c r="B392" t="s">
        <v>1273</v>
      </c>
      <c r="C392" t="s">
        <v>2127</v>
      </c>
      <c r="D392" s="2">
        <v>46207</v>
      </c>
      <c r="E392" s="2">
        <v>46208</v>
      </c>
      <c r="F392">
        <f t="shared" si="6"/>
        <v>2</v>
      </c>
      <c r="G392" t="s">
        <v>2120</v>
      </c>
      <c r="H392" t="s">
        <v>2121</v>
      </c>
    </row>
    <row r="393" spans="1:8">
      <c r="A393" t="s">
        <v>2521</v>
      </c>
      <c r="B393" t="s">
        <v>1276</v>
      </c>
      <c r="C393" t="s">
        <v>2131</v>
      </c>
      <c r="D393" s="2">
        <v>46210</v>
      </c>
      <c r="E393" s="2">
        <v>46212</v>
      </c>
      <c r="F393">
        <f t="shared" si="6"/>
        <v>3</v>
      </c>
      <c r="G393" t="s">
        <v>2124</v>
      </c>
      <c r="H393" t="s">
        <v>2125</v>
      </c>
    </row>
    <row r="394" spans="1:8">
      <c r="A394" t="s">
        <v>2522</v>
      </c>
      <c r="B394" t="s">
        <v>1279</v>
      </c>
      <c r="C394" t="s">
        <v>2119</v>
      </c>
      <c r="D394" s="2">
        <v>46213</v>
      </c>
      <c r="E394" s="2">
        <v>46216</v>
      </c>
      <c r="F394">
        <f t="shared" si="6"/>
        <v>4</v>
      </c>
      <c r="G394" t="s">
        <v>2128</v>
      </c>
      <c r="H394" t="s">
        <v>2129</v>
      </c>
    </row>
    <row r="395" spans="1:8">
      <c r="A395" t="s">
        <v>2523</v>
      </c>
      <c r="B395" t="s">
        <v>1282</v>
      </c>
      <c r="C395" t="s">
        <v>2123</v>
      </c>
      <c r="D395" s="2">
        <v>46216</v>
      </c>
      <c r="E395" s="2">
        <v>46220</v>
      </c>
      <c r="F395">
        <f t="shared" si="6"/>
        <v>5</v>
      </c>
      <c r="G395" t="s">
        <v>2120</v>
      </c>
      <c r="H395" t="s">
        <v>2132</v>
      </c>
    </row>
    <row r="396" spans="1:8">
      <c r="A396" t="s">
        <v>2524</v>
      </c>
      <c r="B396" t="s">
        <v>1285</v>
      </c>
      <c r="C396" t="s">
        <v>2127</v>
      </c>
      <c r="D396" s="2">
        <v>46219</v>
      </c>
      <c r="E396" s="2">
        <v>46219</v>
      </c>
      <c r="F396">
        <f t="shared" si="6"/>
        <v>1</v>
      </c>
      <c r="G396" t="s">
        <v>2128</v>
      </c>
      <c r="H396" t="s">
        <v>2134</v>
      </c>
    </row>
    <row r="397" spans="1:8">
      <c r="A397" t="s">
        <v>2525</v>
      </c>
      <c r="B397" t="s">
        <v>1288</v>
      </c>
      <c r="C397" t="s">
        <v>2131</v>
      </c>
      <c r="D397" s="2">
        <v>46222</v>
      </c>
      <c r="E397" s="2">
        <v>46223</v>
      </c>
      <c r="F397">
        <f t="shared" si="6"/>
        <v>2</v>
      </c>
      <c r="G397" t="s">
        <v>2120</v>
      </c>
      <c r="H397" t="s">
        <v>2121</v>
      </c>
    </row>
    <row r="398" spans="1:8">
      <c r="A398" t="s">
        <v>2526</v>
      </c>
      <c r="B398" t="s">
        <v>1291</v>
      </c>
      <c r="C398" t="s">
        <v>2119</v>
      </c>
      <c r="D398" s="2">
        <v>46225</v>
      </c>
      <c r="E398" s="2">
        <v>46227</v>
      </c>
      <c r="F398">
        <f t="shared" si="6"/>
        <v>3</v>
      </c>
      <c r="G398" t="s">
        <v>2124</v>
      </c>
      <c r="H398" t="s">
        <v>2125</v>
      </c>
    </row>
    <row r="399" spans="1:8">
      <c r="A399" t="s">
        <v>2527</v>
      </c>
      <c r="B399" t="s">
        <v>1294</v>
      </c>
      <c r="C399" t="s">
        <v>2123</v>
      </c>
      <c r="D399" s="2">
        <v>46228</v>
      </c>
      <c r="E399" s="2">
        <v>46231</v>
      </c>
      <c r="F399">
        <f t="shared" si="6"/>
        <v>4</v>
      </c>
      <c r="G399" t="s">
        <v>2128</v>
      </c>
      <c r="H399" t="s">
        <v>2129</v>
      </c>
    </row>
    <row r="400" spans="1:8">
      <c r="A400" t="s">
        <v>2528</v>
      </c>
      <c r="B400" t="s">
        <v>1297</v>
      </c>
      <c r="C400" t="s">
        <v>2127</v>
      </c>
      <c r="D400" s="2">
        <v>46231</v>
      </c>
      <c r="E400" s="2">
        <v>46235</v>
      </c>
      <c r="F400">
        <f t="shared" si="6"/>
        <v>5</v>
      </c>
      <c r="G400" t="s">
        <v>2120</v>
      </c>
      <c r="H400" t="s">
        <v>2132</v>
      </c>
    </row>
    <row r="401" spans="1:8">
      <c r="A401" t="s">
        <v>2529</v>
      </c>
      <c r="B401" t="s">
        <v>1300</v>
      </c>
      <c r="C401" t="s">
        <v>2131</v>
      </c>
      <c r="D401" s="2">
        <v>46174</v>
      </c>
      <c r="E401" s="2">
        <v>46174</v>
      </c>
      <c r="F401">
        <f t="shared" si="6"/>
        <v>1</v>
      </c>
      <c r="G401" t="s">
        <v>2128</v>
      </c>
      <c r="H401" t="s">
        <v>2134</v>
      </c>
    </row>
    <row r="402" spans="1:8">
      <c r="A402" t="s">
        <v>2530</v>
      </c>
      <c r="B402" t="s">
        <v>1303</v>
      </c>
      <c r="C402" t="s">
        <v>2119</v>
      </c>
      <c r="D402" s="2">
        <v>46177</v>
      </c>
      <c r="E402" s="2">
        <v>46178</v>
      </c>
      <c r="F402">
        <f t="shared" si="6"/>
        <v>2</v>
      </c>
      <c r="G402" t="s">
        <v>2120</v>
      </c>
      <c r="H402" t="s">
        <v>2121</v>
      </c>
    </row>
    <row r="403" spans="1:8">
      <c r="A403" t="s">
        <v>2531</v>
      </c>
      <c r="B403" t="s">
        <v>1306</v>
      </c>
      <c r="C403" t="s">
        <v>2123</v>
      </c>
      <c r="D403" s="2">
        <v>46180</v>
      </c>
      <c r="E403" s="2">
        <v>46182</v>
      </c>
      <c r="F403">
        <f t="shared" si="6"/>
        <v>3</v>
      </c>
      <c r="G403" t="s">
        <v>2124</v>
      </c>
      <c r="H403" t="s">
        <v>2125</v>
      </c>
    </row>
    <row r="404" spans="1:8">
      <c r="A404" t="s">
        <v>2532</v>
      </c>
      <c r="B404" t="s">
        <v>1309</v>
      </c>
      <c r="C404" t="s">
        <v>2127</v>
      </c>
      <c r="D404" s="2">
        <v>46183</v>
      </c>
      <c r="E404" s="2">
        <v>46186</v>
      </c>
      <c r="F404">
        <f t="shared" si="6"/>
        <v>4</v>
      </c>
      <c r="G404" t="s">
        <v>2128</v>
      </c>
      <c r="H404" t="s">
        <v>2129</v>
      </c>
    </row>
    <row r="405" spans="1:8">
      <c r="A405" t="s">
        <v>2533</v>
      </c>
      <c r="B405" t="s">
        <v>1312</v>
      </c>
      <c r="C405" t="s">
        <v>2131</v>
      </c>
      <c r="D405" s="2">
        <v>46186</v>
      </c>
      <c r="E405" s="2">
        <v>46190</v>
      </c>
      <c r="F405">
        <f t="shared" si="6"/>
        <v>5</v>
      </c>
      <c r="G405" t="s">
        <v>2120</v>
      </c>
      <c r="H405" t="s">
        <v>2132</v>
      </c>
    </row>
    <row r="406" spans="1:8">
      <c r="A406" t="s">
        <v>2534</v>
      </c>
      <c r="B406" t="s">
        <v>1315</v>
      </c>
      <c r="C406" t="s">
        <v>2119</v>
      </c>
      <c r="D406" s="2">
        <v>46189</v>
      </c>
      <c r="E406" s="2">
        <v>46189</v>
      </c>
      <c r="F406">
        <f t="shared" si="6"/>
        <v>1</v>
      </c>
      <c r="G406" t="s">
        <v>2128</v>
      </c>
      <c r="H406" t="s">
        <v>2134</v>
      </c>
    </row>
    <row r="407" spans="1:8">
      <c r="A407" t="s">
        <v>2535</v>
      </c>
      <c r="B407" t="s">
        <v>1318</v>
      </c>
      <c r="C407" t="s">
        <v>2123</v>
      </c>
      <c r="D407" s="2">
        <v>46192</v>
      </c>
      <c r="E407" s="2">
        <v>46193</v>
      </c>
      <c r="F407">
        <f t="shared" si="6"/>
        <v>2</v>
      </c>
      <c r="G407" t="s">
        <v>2120</v>
      </c>
      <c r="H407" t="s">
        <v>2121</v>
      </c>
    </row>
    <row r="408" spans="1:8">
      <c r="A408" t="s">
        <v>2536</v>
      </c>
      <c r="B408" t="s">
        <v>1321</v>
      </c>
      <c r="C408" t="s">
        <v>2127</v>
      </c>
      <c r="D408" s="2">
        <v>46195</v>
      </c>
      <c r="E408" s="2">
        <v>46197</v>
      </c>
      <c r="F408">
        <f t="shared" si="6"/>
        <v>3</v>
      </c>
      <c r="G408" t="s">
        <v>2124</v>
      </c>
      <c r="H408" t="s">
        <v>2125</v>
      </c>
    </row>
    <row r="409" spans="1:8">
      <c r="A409" t="s">
        <v>2537</v>
      </c>
      <c r="B409" t="s">
        <v>1324</v>
      </c>
      <c r="C409" t="s">
        <v>2131</v>
      </c>
      <c r="D409" s="2">
        <v>46198</v>
      </c>
      <c r="E409" s="2">
        <v>46201</v>
      </c>
      <c r="F409">
        <f t="shared" si="6"/>
        <v>4</v>
      </c>
      <c r="G409" t="s">
        <v>2128</v>
      </c>
      <c r="H409" t="s">
        <v>2129</v>
      </c>
    </row>
    <row r="410" spans="1:8">
      <c r="A410" t="s">
        <v>2538</v>
      </c>
      <c r="B410" t="s">
        <v>1327</v>
      </c>
      <c r="C410" t="s">
        <v>2119</v>
      </c>
      <c r="D410" s="2">
        <v>46201</v>
      </c>
      <c r="E410" s="2">
        <v>46205</v>
      </c>
      <c r="F410">
        <f t="shared" si="6"/>
        <v>5</v>
      </c>
      <c r="G410" t="s">
        <v>2120</v>
      </c>
      <c r="H410" t="s">
        <v>2132</v>
      </c>
    </row>
    <row r="411" spans="1:8">
      <c r="A411" t="s">
        <v>2539</v>
      </c>
      <c r="B411" t="s">
        <v>1330</v>
      </c>
      <c r="C411" t="s">
        <v>2123</v>
      </c>
      <c r="D411" s="2">
        <v>46204</v>
      </c>
      <c r="E411" s="2">
        <v>46204</v>
      </c>
      <c r="F411">
        <f t="shared" si="6"/>
        <v>1</v>
      </c>
      <c r="G411" t="s">
        <v>2128</v>
      </c>
      <c r="H411" t="s">
        <v>2134</v>
      </c>
    </row>
    <row r="412" spans="1:8">
      <c r="A412" t="s">
        <v>2540</v>
      </c>
      <c r="B412" t="s">
        <v>1333</v>
      </c>
      <c r="C412" t="s">
        <v>2127</v>
      </c>
      <c r="D412" s="2">
        <v>46207</v>
      </c>
      <c r="E412" s="2">
        <v>46208</v>
      </c>
      <c r="F412">
        <f t="shared" si="6"/>
        <v>2</v>
      </c>
      <c r="G412" t="s">
        <v>2120</v>
      </c>
      <c r="H412" t="s">
        <v>2121</v>
      </c>
    </row>
    <row r="413" spans="1:8">
      <c r="A413" t="s">
        <v>2541</v>
      </c>
      <c r="B413" t="s">
        <v>1336</v>
      </c>
      <c r="C413" t="s">
        <v>2131</v>
      </c>
      <c r="D413" s="2">
        <v>46210</v>
      </c>
      <c r="E413" s="2">
        <v>46212</v>
      </c>
      <c r="F413">
        <f t="shared" si="6"/>
        <v>3</v>
      </c>
      <c r="G413" t="s">
        <v>2124</v>
      </c>
      <c r="H413" t="s">
        <v>2125</v>
      </c>
    </row>
    <row r="414" spans="1:8">
      <c r="A414" t="s">
        <v>2542</v>
      </c>
      <c r="B414" t="s">
        <v>1339</v>
      </c>
      <c r="C414" t="s">
        <v>2119</v>
      </c>
      <c r="D414" s="2">
        <v>46213</v>
      </c>
      <c r="E414" s="2">
        <v>46216</v>
      </c>
      <c r="F414">
        <f t="shared" si="6"/>
        <v>4</v>
      </c>
      <c r="G414" t="s">
        <v>2128</v>
      </c>
      <c r="H414" t="s">
        <v>2129</v>
      </c>
    </row>
    <row r="415" spans="1:8">
      <c r="A415" t="s">
        <v>2543</v>
      </c>
      <c r="B415" t="s">
        <v>1342</v>
      </c>
      <c r="C415" t="s">
        <v>2123</v>
      </c>
      <c r="D415" s="2">
        <v>46216</v>
      </c>
      <c r="E415" s="2">
        <v>46220</v>
      </c>
      <c r="F415">
        <f t="shared" si="6"/>
        <v>5</v>
      </c>
      <c r="G415" t="s">
        <v>2120</v>
      </c>
      <c r="H415" t="s">
        <v>2132</v>
      </c>
    </row>
    <row r="416" spans="1:8">
      <c r="A416" t="s">
        <v>2544</v>
      </c>
      <c r="B416" t="s">
        <v>1345</v>
      </c>
      <c r="C416" t="s">
        <v>2127</v>
      </c>
      <c r="D416" s="2">
        <v>46219</v>
      </c>
      <c r="E416" s="2">
        <v>46219</v>
      </c>
      <c r="F416">
        <f t="shared" si="6"/>
        <v>1</v>
      </c>
      <c r="G416" t="s">
        <v>2128</v>
      </c>
      <c r="H416" t="s">
        <v>2134</v>
      </c>
    </row>
    <row r="417" spans="1:8">
      <c r="A417" t="s">
        <v>2545</v>
      </c>
      <c r="B417" t="s">
        <v>1348</v>
      </c>
      <c r="C417" t="s">
        <v>2131</v>
      </c>
      <c r="D417" s="2">
        <v>46222</v>
      </c>
      <c r="E417" s="2">
        <v>46223</v>
      </c>
      <c r="F417">
        <f t="shared" si="6"/>
        <v>2</v>
      </c>
      <c r="G417" t="s">
        <v>2120</v>
      </c>
      <c r="H417" t="s">
        <v>2121</v>
      </c>
    </row>
    <row r="418" spans="1:8">
      <c r="A418" t="s">
        <v>2546</v>
      </c>
      <c r="B418" t="s">
        <v>1351</v>
      </c>
      <c r="C418" t="s">
        <v>2119</v>
      </c>
      <c r="D418" s="2">
        <v>46225</v>
      </c>
      <c r="E418" s="2">
        <v>46227</v>
      </c>
      <c r="F418">
        <f t="shared" si="6"/>
        <v>3</v>
      </c>
      <c r="G418" t="s">
        <v>2124</v>
      </c>
      <c r="H418" t="s">
        <v>2125</v>
      </c>
    </row>
    <row r="419" spans="1:8">
      <c r="A419" t="s">
        <v>2547</v>
      </c>
      <c r="B419" t="s">
        <v>1354</v>
      </c>
      <c r="C419" t="s">
        <v>2123</v>
      </c>
      <c r="D419" s="2">
        <v>46228</v>
      </c>
      <c r="E419" s="2">
        <v>46231</v>
      </c>
      <c r="F419">
        <f t="shared" si="6"/>
        <v>4</v>
      </c>
      <c r="G419" t="s">
        <v>2128</v>
      </c>
      <c r="H419" t="s">
        <v>2129</v>
      </c>
    </row>
    <row r="420" spans="1:8">
      <c r="A420" t="s">
        <v>2548</v>
      </c>
      <c r="B420" t="s">
        <v>1357</v>
      </c>
      <c r="C420" t="s">
        <v>2127</v>
      </c>
      <c r="D420" s="2">
        <v>46231</v>
      </c>
      <c r="E420" s="2">
        <v>46235</v>
      </c>
      <c r="F420">
        <f t="shared" si="6"/>
        <v>5</v>
      </c>
      <c r="G420" t="s">
        <v>2120</v>
      </c>
      <c r="H420" t="s">
        <v>2132</v>
      </c>
    </row>
    <row r="421" spans="1:8">
      <c r="A421" t="s">
        <v>2549</v>
      </c>
      <c r="B421" t="s">
        <v>1360</v>
      </c>
      <c r="C421" t="s">
        <v>2131</v>
      </c>
      <c r="D421" s="2">
        <v>46174</v>
      </c>
      <c r="E421" s="2">
        <v>46174</v>
      </c>
      <c r="F421">
        <f t="shared" si="6"/>
        <v>1</v>
      </c>
      <c r="G421" t="s">
        <v>2128</v>
      </c>
      <c r="H421" t="s">
        <v>2134</v>
      </c>
    </row>
    <row r="422" spans="1:8">
      <c r="A422" t="s">
        <v>2550</v>
      </c>
      <c r="B422" t="s">
        <v>1363</v>
      </c>
      <c r="C422" t="s">
        <v>2119</v>
      </c>
      <c r="D422" s="2">
        <v>46177</v>
      </c>
      <c r="E422" s="2">
        <v>46178</v>
      </c>
      <c r="F422">
        <f t="shared" si="6"/>
        <v>2</v>
      </c>
      <c r="G422" t="s">
        <v>2120</v>
      </c>
      <c r="H422" t="s">
        <v>2121</v>
      </c>
    </row>
    <row r="423" spans="1:8">
      <c r="A423" t="s">
        <v>2551</v>
      </c>
      <c r="B423" t="s">
        <v>1366</v>
      </c>
      <c r="C423" t="s">
        <v>2123</v>
      </c>
      <c r="D423" s="2">
        <v>46180</v>
      </c>
      <c r="E423" s="2">
        <v>46182</v>
      </c>
      <c r="F423">
        <f t="shared" si="6"/>
        <v>3</v>
      </c>
      <c r="G423" t="s">
        <v>2124</v>
      </c>
      <c r="H423" t="s">
        <v>2125</v>
      </c>
    </row>
    <row r="424" spans="1:8">
      <c r="A424" t="s">
        <v>2552</v>
      </c>
      <c r="B424" t="s">
        <v>1369</v>
      </c>
      <c r="C424" t="s">
        <v>2127</v>
      </c>
      <c r="D424" s="2">
        <v>46183</v>
      </c>
      <c r="E424" s="2">
        <v>46186</v>
      </c>
      <c r="F424">
        <f t="shared" si="6"/>
        <v>4</v>
      </c>
      <c r="G424" t="s">
        <v>2128</v>
      </c>
      <c r="H424" t="s">
        <v>2129</v>
      </c>
    </row>
    <row r="425" spans="1:8">
      <c r="A425" t="s">
        <v>2553</v>
      </c>
      <c r="B425" t="s">
        <v>1372</v>
      </c>
      <c r="C425" t="s">
        <v>2131</v>
      </c>
      <c r="D425" s="2">
        <v>46186</v>
      </c>
      <c r="E425" s="2">
        <v>46190</v>
      </c>
      <c r="F425">
        <f t="shared" si="6"/>
        <v>5</v>
      </c>
      <c r="G425" t="s">
        <v>2120</v>
      </c>
      <c r="H425" t="s">
        <v>2132</v>
      </c>
    </row>
    <row r="426" spans="1:8">
      <c r="A426" t="s">
        <v>2554</v>
      </c>
      <c r="B426" t="s">
        <v>1375</v>
      </c>
      <c r="C426" t="s">
        <v>2119</v>
      </c>
      <c r="D426" s="2">
        <v>46189</v>
      </c>
      <c r="E426" s="2">
        <v>46189</v>
      </c>
      <c r="F426">
        <f t="shared" si="6"/>
        <v>1</v>
      </c>
      <c r="G426" t="s">
        <v>2128</v>
      </c>
      <c r="H426" t="s">
        <v>2134</v>
      </c>
    </row>
    <row r="427" spans="1:8">
      <c r="A427" t="s">
        <v>2555</v>
      </c>
      <c r="B427" t="s">
        <v>1378</v>
      </c>
      <c r="C427" t="s">
        <v>2123</v>
      </c>
      <c r="D427" s="2">
        <v>46192</v>
      </c>
      <c r="E427" s="2">
        <v>46193</v>
      </c>
      <c r="F427">
        <f t="shared" si="6"/>
        <v>2</v>
      </c>
      <c r="G427" t="s">
        <v>2120</v>
      </c>
      <c r="H427" t="s">
        <v>2121</v>
      </c>
    </row>
    <row r="428" spans="1:8">
      <c r="A428" t="s">
        <v>2556</v>
      </c>
      <c r="B428" t="s">
        <v>1381</v>
      </c>
      <c r="C428" t="s">
        <v>2127</v>
      </c>
      <c r="D428" s="2">
        <v>46195</v>
      </c>
      <c r="E428" s="2">
        <v>46197</v>
      </c>
      <c r="F428">
        <f t="shared" si="6"/>
        <v>3</v>
      </c>
      <c r="G428" t="s">
        <v>2124</v>
      </c>
      <c r="H428" t="s">
        <v>2125</v>
      </c>
    </row>
    <row r="429" spans="1:8">
      <c r="A429" t="s">
        <v>2557</v>
      </c>
      <c r="B429" t="s">
        <v>1384</v>
      </c>
      <c r="C429" t="s">
        <v>2131</v>
      </c>
      <c r="D429" s="2">
        <v>46198</v>
      </c>
      <c r="E429" s="2">
        <v>46201</v>
      </c>
      <c r="F429">
        <f t="shared" si="6"/>
        <v>4</v>
      </c>
      <c r="G429" t="s">
        <v>2128</v>
      </c>
      <c r="H429" t="s">
        <v>2129</v>
      </c>
    </row>
    <row r="430" spans="1:8">
      <c r="A430" t="s">
        <v>2558</v>
      </c>
      <c r="B430" t="s">
        <v>1387</v>
      </c>
      <c r="C430" t="s">
        <v>2119</v>
      </c>
      <c r="D430" s="2">
        <v>46201</v>
      </c>
      <c r="E430" s="2">
        <v>46205</v>
      </c>
      <c r="F430">
        <f t="shared" si="6"/>
        <v>5</v>
      </c>
      <c r="G430" t="s">
        <v>2120</v>
      </c>
      <c r="H430" t="s">
        <v>2132</v>
      </c>
    </row>
    <row r="431" spans="1:8">
      <c r="A431" t="s">
        <v>2559</v>
      </c>
      <c r="B431" t="s">
        <v>1390</v>
      </c>
      <c r="C431" t="s">
        <v>2123</v>
      </c>
      <c r="D431" s="2">
        <v>46204</v>
      </c>
      <c r="E431" s="2">
        <v>46204</v>
      </c>
      <c r="F431">
        <f t="shared" si="6"/>
        <v>1</v>
      </c>
      <c r="G431" t="s">
        <v>2128</v>
      </c>
      <c r="H431" t="s">
        <v>2134</v>
      </c>
    </row>
    <row r="432" spans="1:8">
      <c r="A432" t="s">
        <v>2560</v>
      </c>
      <c r="B432" t="s">
        <v>1393</v>
      </c>
      <c r="C432" t="s">
        <v>2127</v>
      </c>
      <c r="D432" s="2">
        <v>46207</v>
      </c>
      <c r="E432" s="2">
        <v>46208</v>
      </c>
      <c r="F432">
        <f t="shared" si="6"/>
        <v>2</v>
      </c>
      <c r="G432" t="s">
        <v>2120</v>
      </c>
      <c r="H432" t="s">
        <v>2121</v>
      </c>
    </row>
    <row r="433" spans="1:8">
      <c r="A433" t="s">
        <v>2561</v>
      </c>
      <c r="B433" t="s">
        <v>1396</v>
      </c>
      <c r="C433" t="s">
        <v>2131</v>
      </c>
      <c r="D433" s="2">
        <v>46210</v>
      </c>
      <c r="E433" s="2">
        <v>46212</v>
      </c>
      <c r="F433">
        <f t="shared" si="6"/>
        <v>3</v>
      </c>
      <c r="G433" t="s">
        <v>2124</v>
      </c>
      <c r="H433" t="s">
        <v>2125</v>
      </c>
    </row>
    <row r="434" spans="1:8">
      <c r="A434" t="s">
        <v>2562</v>
      </c>
      <c r="B434" t="s">
        <v>1399</v>
      </c>
      <c r="C434" t="s">
        <v>2119</v>
      </c>
      <c r="D434" s="2">
        <v>46213</v>
      </c>
      <c r="E434" s="2">
        <v>46216</v>
      </c>
      <c r="F434">
        <f t="shared" si="6"/>
        <v>4</v>
      </c>
      <c r="G434" t="s">
        <v>2128</v>
      </c>
      <c r="H434" t="s">
        <v>2129</v>
      </c>
    </row>
    <row r="435" spans="1:8">
      <c r="A435" t="s">
        <v>2563</v>
      </c>
      <c r="B435" t="s">
        <v>1402</v>
      </c>
      <c r="C435" t="s">
        <v>2123</v>
      </c>
      <c r="D435" s="2">
        <v>46216</v>
      </c>
      <c r="E435" s="2">
        <v>46220</v>
      </c>
      <c r="F435">
        <f t="shared" si="6"/>
        <v>5</v>
      </c>
      <c r="G435" t="s">
        <v>2120</v>
      </c>
      <c r="H435" t="s">
        <v>2132</v>
      </c>
    </row>
    <row r="436" spans="1:8">
      <c r="A436" t="s">
        <v>2564</v>
      </c>
      <c r="B436" t="s">
        <v>1405</v>
      </c>
      <c r="C436" t="s">
        <v>2127</v>
      </c>
      <c r="D436" s="2">
        <v>46219</v>
      </c>
      <c r="E436" s="2">
        <v>46219</v>
      </c>
      <c r="F436">
        <f t="shared" si="6"/>
        <v>1</v>
      </c>
      <c r="G436" t="s">
        <v>2128</v>
      </c>
      <c r="H436" t="s">
        <v>2134</v>
      </c>
    </row>
    <row r="437" spans="1:8">
      <c r="A437" t="s">
        <v>2565</v>
      </c>
      <c r="B437" t="s">
        <v>1408</v>
      </c>
      <c r="C437" t="s">
        <v>2131</v>
      </c>
      <c r="D437" s="2">
        <v>46222</v>
      </c>
      <c r="E437" s="2">
        <v>46223</v>
      </c>
      <c r="F437">
        <f t="shared" si="6"/>
        <v>2</v>
      </c>
      <c r="G437" t="s">
        <v>2120</v>
      </c>
      <c r="H437" t="s">
        <v>2121</v>
      </c>
    </row>
    <row r="438" spans="1:8">
      <c r="A438" t="s">
        <v>2566</v>
      </c>
      <c r="B438" t="s">
        <v>1411</v>
      </c>
      <c r="C438" t="s">
        <v>2119</v>
      </c>
      <c r="D438" s="2">
        <v>46225</v>
      </c>
      <c r="E438" s="2">
        <v>46227</v>
      </c>
      <c r="F438">
        <f t="shared" si="6"/>
        <v>3</v>
      </c>
      <c r="G438" t="s">
        <v>2124</v>
      </c>
      <c r="H438" t="s">
        <v>2125</v>
      </c>
    </row>
    <row r="439" spans="1:8">
      <c r="A439" t="s">
        <v>2567</v>
      </c>
      <c r="B439" t="s">
        <v>1414</v>
      </c>
      <c r="C439" t="s">
        <v>2123</v>
      </c>
      <c r="D439" s="2">
        <v>46228</v>
      </c>
      <c r="E439" s="2">
        <v>46231</v>
      </c>
      <c r="F439">
        <f t="shared" si="6"/>
        <v>4</v>
      </c>
      <c r="G439" t="s">
        <v>2128</v>
      </c>
      <c r="H439" t="s">
        <v>2129</v>
      </c>
    </row>
    <row r="440" spans="1:8">
      <c r="A440" t="s">
        <v>2568</v>
      </c>
      <c r="B440" t="s">
        <v>1417</v>
      </c>
      <c r="C440" t="s">
        <v>2127</v>
      </c>
      <c r="D440" s="2">
        <v>46231</v>
      </c>
      <c r="E440" s="2">
        <v>46235</v>
      </c>
      <c r="F440">
        <f t="shared" si="6"/>
        <v>5</v>
      </c>
      <c r="G440" t="s">
        <v>2120</v>
      </c>
      <c r="H440" t="s">
        <v>2132</v>
      </c>
    </row>
    <row r="441" spans="1:8">
      <c r="A441" t="s">
        <v>2569</v>
      </c>
      <c r="B441" t="s">
        <v>1420</v>
      </c>
      <c r="C441" t="s">
        <v>2131</v>
      </c>
      <c r="D441" s="2">
        <v>46174</v>
      </c>
      <c r="E441" s="2">
        <v>46174</v>
      </c>
      <c r="F441">
        <f t="shared" si="6"/>
        <v>1</v>
      </c>
      <c r="G441" t="s">
        <v>2128</v>
      </c>
      <c r="H441" t="s">
        <v>2134</v>
      </c>
    </row>
    <row r="442" spans="1:8">
      <c r="A442" t="s">
        <v>2570</v>
      </c>
      <c r="B442" t="s">
        <v>1423</v>
      </c>
      <c r="C442" t="s">
        <v>2119</v>
      </c>
      <c r="D442" s="2">
        <v>46177</v>
      </c>
      <c r="E442" s="2">
        <v>46178</v>
      </c>
      <c r="F442">
        <f t="shared" si="6"/>
        <v>2</v>
      </c>
      <c r="G442" t="s">
        <v>2120</v>
      </c>
      <c r="H442" t="s">
        <v>2121</v>
      </c>
    </row>
    <row r="443" spans="1:8">
      <c r="A443" t="s">
        <v>2571</v>
      </c>
      <c r="B443" t="s">
        <v>1426</v>
      </c>
      <c r="C443" t="s">
        <v>2123</v>
      </c>
      <c r="D443" s="2">
        <v>46180</v>
      </c>
      <c r="E443" s="2">
        <v>46182</v>
      </c>
      <c r="F443">
        <f t="shared" si="6"/>
        <v>3</v>
      </c>
      <c r="G443" t="s">
        <v>2124</v>
      </c>
      <c r="H443" t="s">
        <v>2125</v>
      </c>
    </row>
    <row r="444" spans="1:8">
      <c r="A444" t="s">
        <v>2572</v>
      </c>
      <c r="B444" t="s">
        <v>1429</v>
      </c>
      <c r="C444" t="s">
        <v>2127</v>
      </c>
      <c r="D444" s="2">
        <v>46183</v>
      </c>
      <c r="E444" s="2">
        <v>46186</v>
      </c>
      <c r="F444">
        <f t="shared" si="6"/>
        <v>4</v>
      </c>
      <c r="G444" t="s">
        <v>2128</v>
      </c>
      <c r="H444" t="s">
        <v>2129</v>
      </c>
    </row>
    <row r="445" spans="1:8">
      <c r="A445" t="s">
        <v>2573</v>
      </c>
      <c r="B445" t="s">
        <v>1432</v>
      </c>
      <c r="C445" t="s">
        <v>2131</v>
      </c>
      <c r="D445" s="2">
        <v>46186</v>
      </c>
      <c r="E445" s="2">
        <v>46190</v>
      </c>
      <c r="F445">
        <f t="shared" si="6"/>
        <v>5</v>
      </c>
      <c r="G445" t="s">
        <v>2120</v>
      </c>
      <c r="H445" t="s">
        <v>2132</v>
      </c>
    </row>
    <row r="446" spans="1:8">
      <c r="A446" t="s">
        <v>2574</v>
      </c>
      <c r="B446" t="s">
        <v>1435</v>
      </c>
      <c r="C446" t="s">
        <v>2119</v>
      </c>
      <c r="D446" s="2">
        <v>46189</v>
      </c>
      <c r="E446" s="2">
        <v>46189</v>
      </c>
      <c r="F446">
        <f t="shared" si="6"/>
        <v>1</v>
      </c>
      <c r="G446" t="s">
        <v>2128</v>
      </c>
      <c r="H446" t="s">
        <v>2134</v>
      </c>
    </row>
    <row r="447" spans="1:8">
      <c r="A447" t="s">
        <v>2575</v>
      </c>
      <c r="B447" t="s">
        <v>1438</v>
      </c>
      <c r="C447" t="s">
        <v>2123</v>
      </c>
      <c r="D447" s="2">
        <v>46192</v>
      </c>
      <c r="E447" s="2">
        <v>46193</v>
      </c>
      <c r="F447">
        <f t="shared" si="6"/>
        <v>2</v>
      </c>
      <c r="G447" t="s">
        <v>2120</v>
      </c>
      <c r="H447" t="s">
        <v>2121</v>
      </c>
    </row>
    <row r="448" spans="1:8">
      <c r="A448" t="s">
        <v>2576</v>
      </c>
      <c r="B448" t="s">
        <v>1441</v>
      </c>
      <c r="C448" t="s">
        <v>2127</v>
      </c>
      <c r="D448" s="2">
        <v>46195</v>
      </c>
      <c r="E448" s="2">
        <v>46197</v>
      </c>
      <c r="F448">
        <f t="shared" si="6"/>
        <v>3</v>
      </c>
      <c r="G448" t="s">
        <v>2124</v>
      </c>
      <c r="H448" t="s">
        <v>2125</v>
      </c>
    </row>
    <row r="449" spans="1:8">
      <c r="A449" t="s">
        <v>2577</v>
      </c>
      <c r="B449" t="s">
        <v>1444</v>
      </c>
      <c r="C449" t="s">
        <v>2131</v>
      </c>
      <c r="D449" s="2">
        <v>46198</v>
      </c>
      <c r="E449" s="2">
        <v>46201</v>
      </c>
      <c r="F449">
        <f t="shared" si="6"/>
        <v>4</v>
      </c>
      <c r="G449" t="s">
        <v>2128</v>
      </c>
      <c r="H449" t="s">
        <v>2129</v>
      </c>
    </row>
    <row r="450" spans="1:8">
      <c r="A450" t="s">
        <v>2578</v>
      </c>
      <c r="B450" t="s">
        <v>1447</v>
      </c>
      <c r="C450" t="s">
        <v>2119</v>
      </c>
      <c r="D450" s="2">
        <v>46201</v>
      </c>
      <c r="E450" s="2">
        <v>46205</v>
      </c>
      <c r="F450">
        <f t="shared" ref="F450:F513" si="7">E450-D450+1</f>
        <v>5</v>
      </c>
      <c r="G450" t="s">
        <v>2120</v>
      </c>
      <c r="H450" t="s">
        <v>2132</v>
      </c>
    </row>
    <row r="451" spans="1:8">
      <c r="A451" t="s">
        <v>2579</v>
      </c>
      <c r="B451" t="s">
        <v>1450</v>
      </c>
      <c r="C451" t="s">
        <v>2123</v>
      </c>
      <c r="D451" s="2">
        <v>46204</v>
      </c>
      <c r="E451" s="2">
        <v>46204</v>
      </c>
      <c r="F451">
        <f t="shared" si="7"/>
        <v>1</v>
      </c>
      <c r="G451" t="s">
        <v>2128</v>
      </c>
      <c r="H451" t="s">
        <v>2134</v>
      </c>
    </row>
    <row r="452" spans="1:8">
      <c r="A452" t="s">
        <v>2580</v>
      </c>
      <c r="B452" t="s">
        <v>1453</v>
      </c>
      <c r="C452" t="s">
        <v>2127</v>
      </c>
      <c r="D452" s="2">
        <v>46207</v>
      </c>
      <c r="E452" s="2">
        <v>46208</v>
      </c>
      <c r="F452">
        <f t="shared" si="7"/>
        <v>2</v>
      </c>
      <c r="G452" t="s">
        <v>2120</v>
      </c>
      <c r="H452" t="s">
        <v>2121</v>
      </c>
    </row>
    <row r="453" spans="1:8">
      <c r="A453" t="s">
        <v>2581</v>
      </c>
      <c r="B453" t="s">
        <v>1456</v>
      </c>
      <c r="C453" t="s">
        <v>2131</v>
      </c>
      <c r="D453" s="2">
        <v>46210</v>
      </c>
      <c r="E453" s="2">
        <v>46212</v>
      </c>
      <c r="F453">
        <f t="shared" si="7"/>
        <v>3</v>
      </c>
      <c r="G453" t="s">
        <v>2124</v>
      </c>
      <c r="H453" t="s">
        <v>2125</v>
      </c>
    </row>
    <row r="454" spans="1:8">
      <c r="A454" t="s">
        <v>2582</v>
      </c>
      <c r="B454" t="s">
        <v>1459</v>
      </c>
      <c r="C454" t="s">
        <v>2119</v>
      </c>
      <c r="D454" s="2">
        <v>46213</v>
      </c>
      <c r="E454" s="2">
        <v>46216</v>
      </c>
      <c r="F454">
        <f t="shared" si="7"/>
        <v>4</v>
      </c>
      <c r="G454" t="s">
        <v>2128</v>
      </c>
      <c r="H454" t="s">
        <v>2129</v>
      </c>
    </row>
    <row r="455" spans="1:8">
      <c r="A455" t="s">
        <v>2583</v>
      </c>
      <c r="B455" t="s">
        <v>1462</v>
      </c>
      <c r="C455" t="s">
        <v>2123</v>
      </c>
      <c r="D455" s="2">
        <v>46216</v>
      </c>
      <c r="E455" s="2">
        <v>46220</v>
      </c>
      <c r="F455">
        <f t="shared" si="7"/>
        <v>5</v>
      </c>
      <c r="G455" t="s">
        <v>2120</v>
      </c>
      <c r="H455" t="s">
        <v>2132</v>
      </c>
    </row>
    <row r="456" spans="1:8">
      <c r="A456" t="s">
        <v>2584</v>
      </c>
      <c r="B456" t="s">
        <v>1465</v>
      </c>
      <c r="C456" t="s">
        <v>2127</v>
      </c>
      <c r="D456" s="2">
        <v>46219</v>
      </c>
      <c r="E456" s="2">
        <v>46219</v>
      </c>
      <c r="F456">
        <f t="shared" si="7"/>
        <v>1</v>
      </c>
      <c r="G456" t="s">
        <v>2128</v>
      </c>
      <c r="H456" t="s">
        <v>2134</v>
      </c>
    </row>
    <row r="457" spans="1:8">
      <c r="A457" t="s">
        <v>2585</v>
      </c>
      <c r="B457" t="s">
        <v>1468</v>
      </c>
      <c r="C457" t="s">
        <v>2131</v>
      </c>
      <c r="D457" s="2">
        <v>46222</v>
      </c>
      <c r="E457" s="2">
        <v>46223</v>
      </c>
      <c r="F457">
        <f t="shared" si="7"/>
        <v>2</v>
      </c>
      <c r="G457" t="s">
        <v>2120</v>
      </c>
      <c r="H457" t="s">
        <v>2121</v>
      </c>
    </row>
    <row r="458" spans="1:8">
      <c r="A458" t="s">
        <v>2586</v>
      </c>
      <c r="B458" t="s">
        <v>1471</v>
      </c>
      <c r="C458" t="s">
        <v>2119</v>
      </c>
      <c r="D458" s="2">
        <v>46225</v>
      </c>
      <c r="E458" s="2">
        <v>46227</v>
      </c>
      <c r="F458">
        <f t="shared" si="7"/>
        <v>3</v>
      </c>
      <c r="G458" t="s">
        <v>2124</v>
      </c>
      <c r="H458" t="s">
        <v>2125</v>
      </c>
    </row>
    <row r="459" spans="1:8">
      <c r="A459" t="s">
        <v>2587</v>
      </c>
      <c r="B459" t="s">
        <v>1474</v>
      </c>
      <c r="C459" t="s">
        <v>2123</v>
      </c>
      <c r="D459" s="2">
        <v>46228</v>
      </c>
      <c r="E459" s="2">
        <v>46231</v>
      </c>
      <c r="F459">
        <f t="shared" si="7"/>
        <v>4</v>
      </c>
      <c r="G459" t="s">
        <v>2128</v>
      </c>
      <c r="H459" t="s">
        <v>2129</v>
      </c>
    </row>
    <row r="460" spans="1:8">
      <c r="A460" t="s">
        <v>2588</v>
      </c>
      <c r="B460" t="s">
        <v>1477</v>
      </c>
      <c r="C460" t="s">
        <v>2127</v>
      </c>
      <c r="D460" s="2">
        <v>46231</v>
      </c>
      <c r="E460" s="2">
        <v>46235</v>
      </c>
      <c r="F460">
        <f t="shared" si="7"/>
        <v>5</v>
      </c>
      <c r="G460" t="s">
        <v>2120</v>
      </c>
      <c r="H460" t="s">
        <v>2132</v>
      </c>
    </row>
    <row r="461" spans="1:8">
      <c r="A461" t="s">
        <v>2589</v>
      </c>
      <c r="B461" t="s">
        <v>1480</v>
      </c>
      <c r="C461" t="s">
        <v>2131</v>
      </c>
      <c r="D461" s="2">
        <v>46174</v>
      </c>
      <c r="E461" s="2">
        <v>46174</v>
      </c>
      <c r="F461">
        <f t="shared" si="7"/>
        <v>1</v>
      </c>
      <c r="G461" t="s">
        <v>2128</v>
      </c>
      <c r="H461" t="s">
        <v>2134</v>
      </c>
    </row>
    <row r="462" spans="1:8">
      <c r="A462" t="s">
        <v>2590</v>
      </c>
      <c r="B462" t="s">
        <v>1483</v>
      </c>
      <c r="C462" t="s">
        <v>2119</v>
      </c>
      <c r="D462" s="2">
        <v>46177</v>
      </c>
      <c r="E462" s="2">
        <v>46178</v>
      </c>
      <c r="F462">
        <f t="shared" si="7"/>
        <v>2</v>
      </c>
      <c r="G462" t="s">
        <v>2120</v>
      </c>
      <c r="H462" t="s">
        <v>2121</v>
      </c>
    </row>
    <row r="463" spans="1:8">
      <c r="A463" t="s">
        <v>2591</v>
      </c>
      <c r="B463" t="s">
        <v>1486</v>
      </c>
      <c r="C463" t="s">
        <v>2123</v>
      </c>
      <c r="D463" s="2">
        <v>46180</v>
      </c>
      <c r="E463" s="2">
        <v>46182</v>
      </c>
      <c r="F463">
        <f t="shared" si="7"/>
        <v>3</v>
      </c>
      <c r="G463" t="s">
        <v>2124</v>
      </c>
      <c r="H463" t="s">
        <v>2125</v>
      </c>
    </row>
    <row r="464" spans="1:8">
      <c r="A464" t="s">
        <v>2592</v>
      </c>
      <c r="B464" t="s">
        <v>1489</v>
      </c>
      <c r="C464" t="s">
        <v>2127</v>
      </c>
      <c r="D464" s="2">
        <v>46183</v>
      </c>
      <c r="E464" s="2">
        <v>46186</v>
      </c>
      <c r="F464">
        <f t="shared" si="7"/>
        <v>4</v>
      </c>
      <c r="G464" t="s">
        <v>2128</v>
      </c>
      <c r="H464" t="s">
        <v>2129</v>
      </c>
    </row>
    <row r="465" spans="1:8">
      <c r="A465" t="s">
        <v>2593</v>
      </c>
      <c r="B465" t="s">
        <v>1492</v>
      </c>
      <c r="C465" t="s">
        <v>2131</v>
      </c>
      <c r="D465" s="2">
        <v>46186</v>
      </c>
      <c r="E465" s="2">
        <v>46190</v>
      </c>
      <c r="F465">
        <f t="shared" si="7"/>
        <v>5</v>
      </c>
      <c r="G465" t="s">
        <v>2120</v>
      </c>
      <c r="H465" t="s">
        <v>2132</v>
      </c>
    </row>
    <row r="466" spans="1:8">
      <c r="A466" t="s">
        <v>2594</v>
      </c>
      <c r="B466" t="s">
        <v>1495</v>
      </c>
      <c r="C466" t="s">
        <v>2119</v>
      </c>
      <c r="D466" s="2">
        <v>46189</v>
      </c>
      <c r="E466" s="2">
        <v>46189</v>
      </c>
      <c r="F466">
        <f t="shared" si="7"/>
        <v>1</v>
      </c>
      <c r="G466" t="s">
        <v>2128</v>
      </c>
      <c r="H466" t="s">
        <v>2134</v>
      </c>
    </row>
    <row r="467" spans="1:8">
      <c r="A467" t="s">
        <v>2595</v>
      </c>
      <c r="B467" t="s">
        <v>1498</v>
      </c>
      <c r="C467" t="s">
        <v>2123</v>
      </c>
      <c r="D467" s="2">
        <v>46192</v>
      </c>
      <c r="E467" s="2">
        <v>46193</v>
      </c>
      <c r="F467">
        <f t="shared" si="7"/>
        <v>2</v>
      </c>
      <c r="G467" t="s">
        <v>2120</v>
      </c>
      <c r="H467" t="s">
        <v>2121</v>
      </c>
    </row>
    <row r="468" spans="1:8">
      <c r="A468" t="s">
        <v>2596</v>
      </c>
      <c r="B468" t="s">
        <v>1501</v>
      </c>
      <c r="C468" t="s">
        <v>2127</v>
      </c>
      <c r="D468" s="2">
        <v>46195</v>
      </c>
      <c r="E468" s="2">
        <v>46197</v>
      </c>
      <c r="F468">
        <f t="shared" si="7"/>
        <v>3</v>
      </c>
      <c r="G468" t="s">
        <v>2124</v>
      </c>
      <c r="H468" t="s">
        <v>2125</v>
      </c>
    </row>
    <row r="469" spans="1:8">
      <c r="A469" t="s">
        <v>2597</v>
      </c>
      <c r="B469" t="s">
        <v>1504</v>
      </c>
      <c r="C469" t="s">
        <v>2131</v>
      </c>
      <c r="D469" s="2">
        <v>46198</v>
      </c>
      <c r="E469" s="2">
        <v>46201</v>
      </c>
      <c r="F469">
        <f t="shared" si="7"/>
        <v>4</v>
      </c>
      <c r="G469" t="s">
        <v>2128</v>
      </c>
      <c r="H469" t="s">
        <v>2129</v>
      </c>
    </row>
    <row r="470" spans="1:8">
      <c r="A470" t="s">
        <v>2598</v>
      </c>
      <c r="B470" t="s">
        <v>1507</v>
      </c>
      <c r="C470" t="s">
        <v>2119</v>
      </c>
      <c r="D470" s="2">
        <v>46201</v>
      </c>
      <c r="E470" s="2">
        <v>46205</v>
      </c>
      <c r="F470">
        <f t="shared" si="7"/>
        <v>5</v>
      </c>
      <c r="G470" t="s">
        <v>2120</v>
      </c>
      <c r="H470" t="s">
        <v>2132</v>
      </c>
    </row>
    <row r="471" spans="1:8">
      <c r="A471" t="s">
        <v>2599</v>
      </c>
      <c r="B471" t="s">
        <v>1510</v>
      </c>
      <c r="C471" t="s">
        <v>2123</v>
      </c>
      <c r="D471" s="2">
        <v>46204</v>
      </c>
      <c r="E471" s="2">
        <v>46204</v>
      </c>
      <c r="F471">
        <f t="shared" si="7"/>
        <v>1</v>
      </c>
      <c r="G471" t="s">
        <v>2128</v>
      </c>
      <c r="H471" t="s">
        <v>2134</v>
      </c>
    </row>
    <row r="472" spans="1:8">
      <c r="A472" t="s">
        <v>2600</v>
      </c>
      <c r="B472" t="s">
        <v>1513</v>
      </c>
      <c r="C472" t="s">
        <v>2127</v>
      </c>
      <c r="D472" s="2">
        <v>46207</v>
      </c>
      <c r="E472" s="2">
        <v>46208</v>
      </c>
      <c r="F472">
        <f t="shared" si="7"/>
        <v>2</v>
      </c>
      <c r="G472" t="s">
        <v>2120</v>
      </c>
      <c r="H472" t="s">
        <v>2121</v>
      </c>
    </row>
    <row r="473" spans="1:8">
      <c r="A473" t="s">
        <v>2601</v>
      </c>
      <c r="B473" t="s">
        <v>1516</v>
      </c>
      <c r="C473" t="s">
        <v>2131</v>
      </c>
      <c r="D473" s="2">
        <v>46210</v>
      </c>
      <c r="E473" s="2">
        <v>46212</v>
      </c>
      <c r="F473">
        <f t="shared" si="7"/>
        <v>3</v>
      </c>
      <c r="G473" t="s">
        <v>2124</v>
      </c>
      <c r="H473" t="s">
        <v>2125</v>
      </c>
    </row>
    <row r="474" spans="1:8">
      <c r="A474" t="s">
        <v>2602</v>
      </c>
      <c r="B474" t="s">
        <v>1519</v>
      </c>
      <c r="C474" t="s">
        <v>2119</v>
      </c>
      <c r="D474" s="2">
        <v>46213</v>
      </c>
      <c r="E474" s="2">
        <v>46216</v>
      </c>
      <c r="F474">
        <f t="shared" si="7"/>
        <v>4</v>
      </c>
      <c r="G474" t="s">
        <v>2128</v>
      </c>
      <c r="H474" t="s">
        <v>2129</v>
      </c>
    </row>
    <row r="475" spans="1:8">
      <c r="A475" t="s">
        <v>2603</v>
      </c>
      <c r="B475" t="s">
        <v>1522</v>
      </c>
      <c r="C475" t="s">
        <v>2123</v>
      </c>
      <c r="D475" s="2">
        <v>46216</v>
      </c>
      <c r="E475" s="2">
        <v>46220</v>
      </c>
      <c r="F475">
        <f t="shared" si="7"/>
        <v>5</v>
      </c>
      <c r="G475" t="s">
        <v>2120</v>
      </c>
      <c r="H475" t="s">
        <v>2132</v>
      </c>
    </row>
    <row r="476" spans="1:8">
      <c r="A476" t="s">
        <v>2604</v>
      </c>
      <c r="B476" t="s">
        <v>1525</v>
      </c>
      <c r="C476" t="s">
        <v>2127</v>
      </c>
      <c r="D476" s="2">
        <v>46219</v>
      </c>
      <c r="E476" s="2">
        <v>46219</v>
      </c>
      <c r="F476">
        <f t="shared" si="7"/>
        <v>1</v>
      </c>
      <c r="G476" t="s">
        <v>2128</v>
      </c>
      <c r="H476" t="s">
        <v>2134</v>
      </c>
    </row>
    <row r="477" spans="1:8">
      <c r="A477" t="s">
        <v>2605</v>
      </c>
      <c r="B477" t="s">
        <v>1528</v>
      </c>
      <c r="C477" t="s">
        <v>2131</v>
      </c>
      <c r="D477" s="2">
        <v>46222</v>
      </c>
      <c r="E477" s="2">
        <v>46223</v>
      </c>
      <c r="F477">
        <f t="shared" si="7"/>
        <v>2</v>
      </c>
      <c r="G477" t="s">
        <v>2120</v>
      </c>
      <c r="H477" t="s">
        <v>2121</v>
      </c>
    </row>
    <row r="478" spans="1:8">
      <c r="A478" t="s">
        <v>2606</v>
      </c>
      <c r="B478" t="s">
        <v>1531</v>
      </c>
      <c r="C478" t="s">
        <v>2119</v>
      </c>
      <c r="D478" s="2">
        <v>46225</v>
      </c>
      <c r="E478" s="2">
        <v>46227</v>
      </c>
      <c r="F478">
        <f t="shared" si="7"/>
        <v>3</v>
      </c>
      <c r="G478" t="s">
        <v>2124</v>
      </c>
      <c r="H478" t="s">
        <v>2125</v>
      </c>
    </row>
    <row r="479" spans="1:8">
      <c r="A479" t="s">
        <v>2607</v>
      </c>
      <c r="B479" t="s">
        <v>1534</v>
      </c>
      <c r="C479" t="s">
        <v>2123</v>
      </c>
      <c r="D479" s="2">
        <v>46228</v>
      </c>
      <c r="E479" s="2">
        <v>46231</v>
      </c>
      <c r="F479">
        <f t="shared" si="7"/>
        <v>4</v>
      </c>
      <c r="G479" t="s">
        <v>2128</v>
      </c>
      <c r="H479" t="s">
        <v>2129</v>
      </c>
    </row>
    <row r="480" spans="1:8">
      <c r="A480" t="s">
        <v>2608</v>
      </c>
      <c r="B480" t="s">
        <v>1537</v>
      </c>
      <c r="C480" t="s">
        <v>2127</v>
      </c>
      <c r="D480" s="2">
        <v>46231</v>
      </c>
      <c r="E480" s="2">
        <v>46235</v>
      </c>
      <c r="F480">
        <f t="shared" si="7"/>
        <v>5</v>
      </c>
      <c r="G480" t="s">
        <v>2120</v>
      </c>
      <c r="H480" t="s">
        <v>2132</v>
      </c>
    </row>
    <row r="481" spans="1:8">
      <c r="A481" t="s">
        <v>2609</v>
      </c>
      <c r="B481" t="s">
        <v>1540</v>
      </c>
      <c r="C481" t="s">
        <v>2131</v>
      </c>
      <c r="D481" s="2">
        <v>46174</v>
      </c>
      <c r="E481" s="2">
        <v>46174</v>
      </c>
      <c r="F481">
        <f t="shared" si="7"/>
        <v>1</v>
      </c>
      <c r="G481" t="s">
        <v>2128</v>
      </c>
      <c r="H481" t="s">
        <v>2134</v>
      </c>
    </row>
    <row r="482" spans="1:8">
      <c r="A482" t="s">
        <v>2610</v>
      </c>
      <c r="B482" t="s">
        <v>1543</v>
      </c>
      <c r="C482" t="s">
        <v>2119</v>
      </c>
      <c r="D482" s="2">
        <v>46177</v>
      </c>
      <c r="E482" s="2">
        <v>46178</v>
      </c>
      <c r="F482">
        <f t="shared" si="7"/>
        <v>2</v>
      </c>
      <c r="G482" t="s">
        <v>2120</v>
      </c>
      <c r="H482" t="s">
        <v>2121</v>
      </c>
    </row>
    <row r="483" spans="1:8">
      <c r="A483" t="s">
        <v>2611</v>
      </c>
      <c r="B483" t="s">
        <v>1546</v>
      </c>
      <c r="C483" t="s">
        <v>2123</v>
      </c>
      <c r="D483" s="2">
        <v>46180</v>
      </c>
      <c r="E483" s="2">
        <v>46182</v>
      </c>
      <c r="F483">
        <f t="shared" si="7"/>
        <v>3</v>
      </c>
      <c r="G483" t="s">
        <v>2124</v>
      </c>
      <c r="H483" t="s">
        <v>2125</v>
      </c>
    </row>
    <row r="484" spans="1:8">
      <c r="A484" t="s">
        <v>2612</v>
      </c>
      <c r="B484" t="s">
        <v>1549</v>
      </c>
      <c r="C484" t="s">
        <v>2127</v>
      </c>
      <c r="D484" s="2">
        <v>46183</v>
      </c>
      <c r="E484" s="2">
        <v>46186</v>
      </c>
      <c r="F484">
        <f t="shared" si="7"/>
        <v>4</v>
      </c>
      <c r="G484" t="s">
        <v>2128</v>
      </c>
      <c r="H484" t="s">
        <v>2129</v>
      </c>
    </row>
    <row r="485" spans="1:8">
      <c r="A485" t="s">
        <v>2613</v>
      </c>
      <c r="B485" t="s">
        <v>1552</v>
      </c>
      <c r="C485" t="s">
        <v>2131</v>
      </c>
      <c r="D485" s="2">
        <v>46186</v>
      </c>
      <c r="E485" s="2">
        <v>46190</v>
      </c>
      <c r="F485">
        <f t="shared" si="7"/>
        <v>5</v>
      </c>
      <c r="G485" t="s">
        <v>2120</v>
      </c>
      <c r="H485" t="s">
        <v>2132</v>
      </c>
    </row>
    <row r="486" spans="1:8">
      <c r="A486" t="s">
        <v>2614</v>
      </c>
      <c r="B486" t="s">
        <v>1555</v>
      </c>
      <c r="C486" t="s">
        <v>2119</v>
      </c>
      <c r="D486" s="2">
        <v>46189</v>
      </c>
      <c r="E486" s="2">
        <v>46189</v>
      </c>
      <c r="F486">
        <f t="shared" si="7"/>
        <v>1</v>
      </c>
      <c r="G486" t="s">
        <v>2128</v>
      </c>
      <c r="H486" t="s">
        <v>2134</v>
      </c>
    </row>
    <row r="487" spans="1:8">
      <c r="A487" t="s">
        <v>2615</v>
      </c>
      <c r="B487" t="s">
        <v>1558</v>
      </c>
      <c r="C487" t="s">
        <v>2123</v>
      </c>
      <c r="D487" s="2">
        <v>46192</v>
      </c>
      <c r="E487" s="2">
        <v>46193</v>
      </c>
      <c r="F487">
        <f t="shared" si="7"/>
        <v>2</v>
      </c>
      <c r="G487" t="s">
        <v>2120</v>
      </c>
      <c r="H487" t="s">
        <v>2121</v>
      </c>
    </row>
    <row r="488" spans="1:8">
      <c r="A488" t="s">
        <v>2616</v>
      </c>
      <c r="B488" t="s">
        <v>1561</v>
      </c>
      <c r="C488" t="s">
        <v>2127</v>
      </c>
      <c r="D488" s="2">
        <v>46195</v>
      </c>
      <c r="E488" s="2">
        <v>46197</v>
      </c>
      <c r="F488">
        <f t="shared" si="7"/>
        <v>3</v>
      </c>
      <c r="G488" t="s">
        <v>2124</v>
      </c>
      <c r="H488" t="s">
        <v>2125</v>
      </c>
    </row>
    <row r="489" spans="1:8">
      <c r="A489" t="s">
        <v>2617</v>
      </c>
      <c r="B489" t="s">
        <v>1564</v>
      </c>
      <c r="C489" t="s">
        <v>2131</v>
      </c>
      <c r="D489" s="2">
        <v>46198</v>
      </c>
      <c r="E489" s="2">
        <v>46201</v>
      </c>
      <c r="F489">
        <f t="shared" si="7"/>
        <v>4</v>
      </c>
      <c r="G489" t="s">
        <v>2128</v>
      </c>
      <c r="H489" t="s">
        <v>2129</v>
      </c>
    </row>
    <row r="490" spans="1:8">
      <c r="A490" t="s">
        <v>2618</v>
      </c>
      <c r="B490" t="s">
        <v>1567</v>
      </c>
      <c r="C490" t="s">
        <v>2119</v>
      </c>
      <c r="D490" s="2">
        <v>46201</v>
      </c>
      <c r="E490" s="2">
        <v>46205</v>
      </c>
      <c r="F490">
        <f t="shared" si="7"/>
        <v>5</v>
      </c>
      <c r="G490" t="s">
        <v>2120</v>
      </c>
      <c r="H490" t="s">
        <v>2132</v>
      </c>
    </row>
    <row r="491" spans="1:8">
      <c r="A491" t="s">
        <v>2619</v>
      </c>
      <c r="B491" t="s">
        <v>1570</v>
      </c>
      <c r="C491" t="s">
        <v>2123</v>
      </c>
      <c r="D491" s="2">
        <v>46204</v>
      </c>
      <c r="E491" s="2">
        <v>46204</v>
      </c>
      <c r="F491">
        <f t="shared" si="7"/>
        <v>1</v>
      </c>
      <c r="G491" t="s">
        <v>2128</v>
      </c>
      <c r="H491" t="s">
        <v>2134</v>
      </c>
    </row>
    <row r="492" spans="1:8">
      <c r="A492" t="s">
        <v>2620</v>
      </c>
      <c r="B492" t="s">
        <v>1573</v>
      </c>
      <c r="C492" t="s">
        <v>2127</v>
      </c>
      <c r="D492" s="2">
        <v>46207</v>
      </c>
      <c r="E492" s="2">
        <v>46208</v>
      </c>
      <c r="F492">
        <f t="shared" si="7"/>
        <v>2</v>
      </c>
      <c r="G492" t="s">
        <v>2120</v>
      </c>
      <c r="H492" t="s">
        <v>2121</v>
      </c>
    </row>
    <row r="493" spans="1:8">
      <c r="A493" t="s">
        <v>2621</v>
      </c>
      <c r="B493" t="s">
        <v>1576</v>
      </c>
      <c r="C493" t="s">
        <v>2131</v>
      </c>
      <c r="D493" s="2">
        <v>46210</v>
      </c>
      <c r="E493" s="2">
        <v>46212</v>
      </c>
      <c r="F493">
        <f t="shared" si="7"/>
        <v>3</v>
      </c>
      <c r="G493" t="s">
        <v>2124</v>
      </c>
      <c r="H493" t="s">
        <v>2125</v>
      </c>
    </row>
    <row r="494" spans="1:8">
      <c r="A494" t="s">
        <v>2622</v>
      </c>
      <c r="B494" t="s">
        <v>1579</v>
      </c>
      <c r="C494" t="s">
        <v>2119</v>
      </c>
      <c r="D494" s="2">
        <v>46213</v>
      </c>
      <c r="E494" s="2">
        <v>46216</v>
      </c>
      <c r="F494">
        <f t="shared" si="7"/>
        <v>4</v>
      </c>
      <c r="G494" t="s">
        <v>2128</v>
      </c>
      <c r="H494" t="s">
        <v>2129</v>
      </c>
    </row>
    <row r="495" spans="1:8">
      <c r="A495" t="s">
        <v>2623</v>
      </c>
      <c r="B495" t="s">
        <v>1582</v>
      </c>
      <c r="C495" t="s">
        <v>2123</v>
      </c>
      <c r="D495" s="2">
        <v>46216</v>
      </c>
      <c r="E495" s="2">
        <v>46220</v>
      </c>
      <c r="F495">
        <f t="shared" si="7"/>
        <v>5</v>
      </c>
      <c r="G495" t="s">
        <v>2120</v>
      </c>
      <c r="H495" t="s">
        <v>2132</v>
      </c>
    </row>
    <row r="496" spans="1:8">
      <c r="A496" t="s">
        <v>2624</v>
      </c>
      <c r="B496" t="s">
        <v>1585</v>
      </c>
      <c r="C496" t="s">
        <v>2127</v>
      </c>
      <c r="D496" s="2">
        <v>46219</v>
      </c>
      <c r="E496" s="2">
        <v>46219</v>
      </c>
      <c r="F496">
        <f t="shared" si="7"/>
        <v>1</v>
      </c>
      <c r="G496" t="s">
        <v>2128</v>
      </c>
      <c r="H496" t="s">
        <v>2134</v>
      </c>
    </row>
    <row r="497" spans="1:8">
      <c r="A497" t="s">
        <v>2625</v>
      </c>
      <c r="B497" t="s">
        <v>1588</v>
      </c>
      <c r="C497" t="s">
        <v>2131</v>
      </c>
      <c r="D497" s="2">
        <v>46222</v>
      </c>
      <c r="E497" s="2">
        <v>46223</v>
      </c>
      <c r="F497">
        <f t="shared" si="7"/>
        <v>2</v>
      </c>
      <c r="G497" t="s">
        <v>2120</v>
      </c>
      <c r="H497" t="s">
        <v>2121</v>
      </c>
    </row>
    <row r="498" spans="1:8">
      <c r="A498" t="s">
        <v>2626</v>
      </c>
      <c r="B498" t="s">
        <v>1591</v>
      </c>
      <c r="C498" t="s">
        <v>2119</v>
      </c>
      <c r="D498" s="2">
        <v>46225</v>
      </c>
      <c r="E498" s="2">
        <v>46227</v>
      </c>
      <c r="F498">
        <f t="shared" si="7"/>
        <v>3</v>
      </c>
      <c r="G498" t="s">
        <v>2124</v>
      </c>
      <c r="H498" t="s">
        <v>2125</v>
      </c>
    </row>
    <row r="499" spans="1:8">
      <c r="A499" t="s">
        <v>2627</v>
      </c>
      <c r="B499" t="s">
        <v>1594</v>
      </c>
      <c r="C499" t="s">
        <v>2123</v>
      </c>
      <c r="D499" s="2">
        <v>46228</v>
      </c>
      <c r="E499" s="2">
        <v>46231</v>
      </c>
      <c r="F499">
        <f t="shared" si="7"/>
        <v>4</v>
      </c>
      <c r="G499" t="s">
        <v>2128</v>
      </c>
      <c r="H499" t="s">
        <v>2129</v>
      </c>
    </row>
    <row r="500" spans="1:8">
      <c r="A500" t="s">
        <v>2628</v>
      </c>
      <c r="B500" t="s">
        <v>1597</v>
      </c>
      <c r="C500" t="s">
        <v>2127</v>
      </c>
      <c r="D500" s="2">
        <v>46231</v>
      </c>
      <c r="E500" s="2">
        <v>46235</v>
      </c>
      <c r="F500">
        <f t="shared" si="7"/>
        <v>5</v>
      </c>
      <c r="G500" t="s">
        <v>2120</v>
      </c>
      <c r="H500" t="s">
        <v>2132</v>
      </c>
    </row>
    <row r="501" spans="1:8">
      <c r="A501" t="s">
        <v>2629</v>
      </c>
      <c r="B501" t="s">
        <v>1600</v>
      </c>
      <c r="C501" t="s">
        <v>2131</v>
      </c>
      <c r="D501" s="2">
        <v>46174</v>
      </c>
      <c r="E501" s="2">
        <v>46174</v>
      </c>
      <c r="F501">
        <f t="shared" si="7"/>
        <v>1</v>
      </c>
      <c r="G501" t="s">
        <v>2128</v>
      </c>
      <c r="H501" t="s">
        <v>2134</v>
      </c>
    </row>
  </sheetData>
  <conditionalFormatting sqref="G2:G501">
    <cfRule type="expression" dxfId="3" priority="1">
      <formula>G2="Pending"</formula>
    </cfRule>
  </conditionalFormatting>
  <dataValidations count="2">
    <dataValidation type="list" sqref="C2:C501" xr:uid="{00000000-0002-0000-0200-000000000000}">
      <formula1>"Casual Leave,Sick Leave,Annual Leave,Work From Home"</formula1>
    </dataValidation>
    <dataValidation type="list" sqref="G2:G501" xr:uid="{00000000-0002-0000-0200-000001000000}">
      <formula1>"Approved,Pending,Rejected"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1"/>
  <sheetViews>
    <sheetView workbookViewId="0">
      <selection activeCell="G5" sqref="G5"/>
    </sheetView>
  </sheetViews>
  <sheetFormatPr defaultRowHeight="13.8"/>
  <cols>
    <col min="1" max="2" width="14" customWidth="1"/>
    <col min="3" max="3" width="16" customWidth="1"/>
    <col min="4" max="4" width="18" customWidth="1"/>
    <col min="5" max="6" width="15" customWidth="1"/>
    <col min="7" max="7" width="14" customWidth="1"/>
  </cols>
  <sheetData>
    <row r="1" spans="1:7">
      <c r="A1" s="1" t="s">
        <v>2630</v>
      </c>
      <c r="B1" s="1" t="s">
        <v>0</v>
      </c>
      <c r="C1" s="1" t="s">
        <v>2631</v>
      </c>
      <c r="D1" s="1" t="s">
        <v>2632</v>
      </c>
      <c r="E1" s="1" t="s">
        <v>2633</v>
      </c>
      <c r="F1" s="1" t="s">
        <v>2634</v>
      </c>
      <c r="G1" s="1" t="s">
        <v>1608</v>
      </c>
    </row>
    <row r="2" spans="1:7">
      <c r="A2" t="s">
        <v>2635</v>
      </c>
      <c r="B2" t="s">
        <v>11</v>
      </c>
      <c r="C2" t="s">
        <v>2636</v>
      </c>
      <c r="D2" t="s">
        <v>2637</v>
      </c>
      <c r="E2" s="2">
        <v>46024</v>
      </c>
      <c r="F2" s="2"/>
      <c r="G2" t="s">
        <v>2638</v>
      </c>
    </row>
    <row r="3" spans="1:7">
      <c r="A3" t="s">
        <v>2639</v>
      </c>
      <c r="B3" t="s">
        <v>21</v>
      </c>
      <c r="C3" t="s">
        <v>2640</v>
      </c>
      <c r="D3" t="s">
        <v>2641</v>
      </c>
      <c r="E3" s="2">
        <v>46025</v>
      </c>
      <c r="F3" s="2"/>
      <c r="G3" t="s">
        <v>2638</v>
      </c>
    </row>
    <row r="4" spans="1:7">
      <c r="A4" t="s">
        <v>2642</v>
      </c>
      <c r="B4" t="s">
        <v>30</v>
      </c>
      <c r="C4" t="s">
        <v>2643</v>
      </c>
      <c r="D4" t="s">
        <v>2644</v>
      </c>
      <c r="E4" s="2">
        <v>46026</v>
      </c>
      <c r="F4" s="2">
        <v>46089</v>
      </c>
      <c r="G4" t="s">
        <v>2645</v>
      </c>
    </row>
    <row r="5" spans="1:7">
      <c r="A5" t="s">
        <v>2646</v>
      </c>
      <c r="B5" t="s">
        <v>38</v>
      </c>
      <c r="C5" t="s">
        <v>2647</v>
      </c>
      <c r="D5" t="s">
        <v>2648</v>
      </c>
      <c r="E5" s="2">
        <v>46027</v>
      </c>
      <c r="F5" s="2">
        <v>46091</v>
      </c>
      <c r="G5" t="s">
        <v>2649</v>
      </c>
    </row>
    <row r="6" spans="1:7">
      <c r="A6" t="s">
        <v>2650</v>
      </c>
      <c r="B6" t="s">
        <v>47</v>
      </c>
      <c r="C6" t="s">
        <v>2651</v>
      </c>
      <c r="D6" t="s">
        <v>2652</v>
      </c>
      <c r="E6" s="2">
        <v>46028</v>
      </c>
      <c r="F6" s="2"/>
      <c r="G6" t="s">
        <v>2638</v>
      </c>
    </row>
    <row r="7" spans="1:7">
      <c r="A7" t="s">
        <v>2653</v>
      </c>
      <c r="B7" t="s">
        <v>56</v>
      </c>
      <c r="C7" t="s">
        <v>2654</v>
      </c>
      <c r="D7" t="s">
        <v>2655</v>
      </c>
      <c r="E7" s="2">
        <v>46029</v>
      </c>
      <c r="F7" s="2"/>
      <c r="G7" t="s">
        <v>2638</v>
      </c>
    </row>
    <row r="8" spans="1:7">
      <c r="A8" t="s">
        <v>2656</v>
      </c>
      <c r="B8" t="s">
        <v>64</v>
      </c>
      <c r="C8" t="s">
        <v>2657</v>
      </c>
      <c r="D8" t="s">
        <v>2658</v>
      </c>
      <c r="E8" s="2">
        <v>46030</v>
      </c>
      <c r="F8" s="2"/>
      <c r="G8" t="s">
        <v>2638</v>
      </c>
    </row>
    <row r="9" spans="1:7">
      <c r="A9" t="s">
        <v>2659</v>
      </c>
      <c r="B9" t="s">
        <v>72</v>
      </c>
      <c r="C9" t="s">
        <v>2660</v>
      </c>
      <c r="D9" t="s">
        <v>2661</v>
      </c>
      <c r="E9" s="2">
        <v>46031</v>
      </c>
      <c r="F9" s="2">
        <v>46099</v>
      </c>
      <c r="G9" t="s">
        <v>2645</v>
      </c>
    </row>
    <row r="10" spans="1:7">
      <c r="A10" t="s">
        <v>2662</v>
      </c>
      <c r="B10" t="s">
        <v>80</v>
      </c>
      <c r="C10" t="s">
        <v>2636</v>
      </c>
      <c r="D10" t="s">
        <v>2663</v>
      </c>
      <c r="E10" s="2">
        <v>46032</v>
      </c>
      <c r="F10" s="2">
        <v>46101</v>
      </c>
      <c r="G10" t="s">
        <v>2649</v>
      </c>
    </row>
    <row r="11" spans="1:7">
      <c r="A11" t="s">
        <v>2664</v>
      </c>
      <c r="B11" t="s">
        <v>87</v>
      </c>
      <c r="C11" t="s">
        <v>2640</v>
      </c>
      <c r="D11" t="s">
        <v>2665</v>
      </c>
      <c r="E11" s="2">
        <v>46033</v>
      </c>
      <c r="F11" s="2"/>
      <c r="G11" t="s">
        <v>2638</v>
      </c>
    </row>
    <row r="12" spans="1:7">
      <c r="A12" t="s">
        <v>2666</v>
      </c>
      <c r="B12" t="s">
        <v>94</v>
      </c>
      <c r="C12" t="s">
        <v>2643</v>
      </c>
      <c r="D12" t="s">
        <v>2667</v>
      </c>
      <c r="E12" s="2">
        <v>46034</v>
      </c>
      <c r="F12" s="2"/>
      <c r="G12" t="s">
        <v>2638</v>
      </c>
    </row>
    <row r="13" spans="1:7">
      <c r="A13" t="s">
        <v>2668</v>
      </c>
      <c r="B13" t="s">
        <v>100</v>
      </c>
      <c r="C13" t="s">
        <v>2647</v>
      </c>
      <c r="D13" t="s">
        <v>2669</v>
      </c>
      <c r="E13" s="2">
        <v>46035</v>
      </c>
      <c r="F13" s="2"/>
      <c r="G13" t="s">
        <v>2638</v>
      </c>
    </row>
    <row r="14" spans="1:7">
      <c r="A14" t="s">
        <v>2670</v>
      </c>
      <c r="B14" t="s">
        <v>106</v>
      </c>
      <c r="C14" t="s">
        <v>2651</v>
      </c>
      <c r="D14" t="s">
        <v>2671</v>
      </c>
      <c r="E14" s="2">
        <v>46036</v>
      </c>
      <c r="F14" s="2">
        <v>46109</v>
      </c>
      <c r="G14" t="s">
        <v>2645</v>
      </c>
    </row>
    <row r="15" spans="1:7">
      <c r="A15" t="s">
        <v>2672</v>
      </c>
      <c r="B15" t="s">
        <v>112</v>
      </c>
      <c r="C15" t="s">
        <v>2654</v>
      </c>
      <c r="D15" t="s">
        <v>2673</v>
      </c>
      <c r="E15" s="2">
        <v>46037</v>
      </c>
      <c r="F15" s="2">
        <v>46111</v>
      </c>
      <c r="G15" t="s">
        <v>2649</v>
      </c>
    </row>
    <row r="16" spans="1:7">
      <c r="A16" t="s">
        <v>2674</v>
      </c>
      <c r="B16" t="s">
        <v>118</v>
      </c>
      <c r="C16" t="s">
        <v>2657</v>
      </c>
      <c r="D16" t="s">
        <v>2675</v>
      </c>
      <c r="E16" s="2">
        <v>46038</v>
      </c>
      <c r="F16" s="2"/>
      <c r="G16" t="s">
        <v>2638</v>
      </c>
    </row>
    <row r="17" spans="1:7">
      <c r="A17" t="s">
        <v>2676</v>
      </c>
      <c r="B17" t="s">
        <v>124</v>
      </c>
      <c r="C17" t="s">
        <v>2660</v>
      </c>
      <c r="D17" t="s">
        <v>2677</v>
      </c>
      <c r="E17" s="2">
        <v>46039</v>
      </c>
      <c r="F17" s="2"/>
      <c r="G17" t="s">
        <v>2638</v>
      </c>
    </row>
    <row r="18" spans="1:7">
      <c r="A18" t="s">
        <v>2678</v>
      </c>
      <c r="B18" t="s">
        <v>130</v>
      </c>
      <c r="C18" t="s">
        <v>2636</v>
      </c>
      <c r="D18" t="s">
        <v>2679</v>
      </c>
      <c r="E18" s="2">
        <v>46040</v>
      </c>
      <c r="F18" s="2"/>
      <c r="G18" t="s">
        <v>2638</v>
      </c>
    </row>
    <row r="19" spans="1:7">
      <c r="A19" t="s">
        <v>2680</v>
      </c>
      <c r="B19" t="s">
        <v>136</v>
      </c>
      <c r="C19" t="s">
        <v>2640</v>
      </c>
      <c r="D19" t="s">
        <v>2681</v>
      </c>
      <c r="E19" s="2">
        <v>46041</v>
      </c>
      <c r="F19" s="2">
        <v>46119</v>
      </c>
      <c r="G19" t="s">
        <v>2645</v>
      </c>
    </row>
    <row r="20" spans="1:7">
      <c r="A20" t="s">
        <v>2682</v>
      </c>
      <c r="B20" t="s">
        <v>142</v>
      </c>
      <c r="C20" t="s">
        <v>2643</v>
      </c>
      <c r="D20" t="s">
        <v>2683</v>
      </c>
      <c r="E20" s="2">
        <v>46042</v>
      </c>
      <c r="F20" s="2">
        <v>46121</v>
      </c>
      <c r="G20" t="s">
        <v>2649</v>
      </c>
    </row>
    <row r="21" spans="1:7">
      <c r="A21" t="s">
        <v>2684</v>
      </c>
      <c r="B21" t="s">
        <v>148</v>
      </c>
      <c r="C21" t="s">
        <v>2647</v>
      </c>
      <c r="D21" t="s">
        <v>2685</v>
      </c>
      <c r="E21" s="2">
        <v>46043</v>
      </c>
      <c r="F21" s="2"/>
      <c r="G21" t="s">
        <v>2638</v>
      </c>
    </row>
    <row r="22" spans="1:7">
      <c r="A22" t="s">
        <v>2686</v>
      </c>
      <c r="B22" t="s">
        <v>154</v>
      </c>
      <c r="C22" t="s">
        <v>2651</v>
      </c>
      <c r="D22" t="s">
        <v>2687</v>
      </c>
      <c r="E22" s="2">
        <v>46044</v>
      </c>
      <c r="F22" s="2"/>
      <c r="G22" t="s">
        <v>2638</v>
      </c>
    </row>
    <row r="23" spans="1:7">
      <c r="A23" t="s">
        <v>2688</v>
      </c>
      <c r="B23" t="s">
        <v>159</v>
      </c>
      <c r="C23" t="s">
        <v>2654</v>
      </c>
      <c r="D23" t="s">
        <v>2689</v>
      </c>
      <c r="E23" s="2">
        <v>46045</v>
      </c>
      <c r="F23" s="2"/>
      <c r="G23" t="s">
        <v>2638</v>
      </c>
    </row>
    <row r="24" spans="1:7">
      <c r="A24" t="s">
        <v>2690</v>
      </c>
      <c r="B24" t="s">
        <v>164</v>
      </c>
      <c r="C24" t="s">
        <v>2657</v>
      </c>
      <c r="D24" t="s">
        <v>2691</v>
      </c>
      <c r="E24" s="2">
        <v>46046</v>
      </c>
      <c r="F24" s="2">
        <v>46129</v>
      </c>
      <c r="G24" t="s">
        <v>2645</v>
      </c>
    </row>
    <row r="25" spans="1:7">
      <c r="A25" t="s">
        <v>2692</v>
      </c>
      <c r="B25" t="s">
        <v>169</v>
      </c>
      <c r="C25" t="s">
        <v>2660</v>
      </c>
      <c r="D25" t="s">
        <v>2693</v>
      </c>
      <c r="E25" s="2">
        <v>46047</v>
      </c>
      <c r="F25" s="2">
        <v>46131</v>
      </c>
      <c r="G25" t="s">
        <v>2649</v>
      </c>
    </row>
    <row r="26" spans="1:7">
      <c r="A26" t="s">
        <v>2694</v>
      </c>
      <c r="B26" t="s">
        <v>174</v>
      </c>
      <c r="C26" t="s">
        <v>2636</v>
      </c>
      <c r="D26" t="s">
        <v>2695</v>
      </c>
      <c r="E26" s="2">
        <v>46048</v>
      </c>
      <c r="F26" s="2"/>
      <c r="G26" t="s">
        <v>2638</v>
      </c>
    </row>
    <row r="27" spans="1:7">
      <c r="A27" t="s">
        <v>2696</v>
      </c>
      <c r="B27" t="s">
        <v>178</v>
      </c>
      <c r="C27" t="s">
        <v>2640</v>
      </c>
      <c r="D27" t="s">
        <v>2697</v>
      </c>
      <c r="E27" s="2">
        <v>46049</v>
      </c>
      <c r="F27" s="2"/>
      <c r="G27" t="s">
        <v>2638</v>
      </c>
    </row>
    <row r="28" spans="1:7">
      <c r="A28" t="s">
        <v>2698</v>
      </c>
      <c r="B28" t="s">
        <v>181</v>
      </c>
      <c r="C28" t="s">
        <v>2643</v>
      </c>
      <c r="D28" t="s">
        <v>2699</v>
      </c>
      <c r="E28" s="2">
        <v>46050</v>
      </c>
      <c r="F28" s="2"/>
      <c r="G28" t="s">
        <v>2638</v>
      </c>
    </row>
    <row r="29" spans="1:7">
      <c r="A29" t="s">
        <v>2700</v>
      </c>
      <c r="B29" t="s">
        <v>184</v>
      </c>
      <c r="C29" t="s">
        <v>2647</v>
      </c>
      <c r="D29" t="s">
        <v>2701</v>
      </c>
      <c r="E29" s="2">
        <v>46051</v>
      </c>
      <c r="F29" s="2">
        <v>46139</v>
      </c>
      <c r="G29" t="s">
        <v>2645</v>
      </c>
    </row>
    <row r="30" spans="1:7">
      <c r="A30" t="s">
        <v>2702</v>
      </c>
      <c r="B30" t="s">
        <v>187</v>
      </c>
      <c r="C30" t="s">
        <v>2651</v>
      </c>
      <c r="D30" t="s">
        <v>2703</v>
      </c>
      <c r="E30" s="2">
        <v>46052</v>
      </c>
      <c r="F30" s="2">
        <v>46141</v>
      </c>
      <c r="G30" t="s">
        <v>2649</v>
      </c>
    </row>
    <row r="31" spans="1:7">
      <c r="A31" t="s">
        <v>2704</v>
      </c>
      <c r="B31" t="s">
        <v>190</v>
      </c>
      <c r="C31" t="s">
        <v>2654</v>
      </c>
      <c r="D31" t="s">
        <v>2705</v>
      </c>
      <c r="E31" s="2">
        <v>46053</v>
      </c>
      <c r="F31" s="2"/>
      <c r="G31" t="s">
        <v>2638</v>
      </c>
    </row>
    <row r="32" spans="1:7">
      <c r="A32" t="s">
        <v>2706</v>
      </c>
      <c r="B32" t="s">
        <v>193</v>
      </c>
      <c r="C32" t="s">
        <v>2657</v>
      </c>
      <c r="D32" t="s">
        <v>2707</v>
      </c>
      <c r="E32" s="2">
        <v>46054</v>
      </c>
      <c r="F32" s="2"/>
      <c r="G32" t="s">
        <v>2638</v>
      </c>
    </row>
    <row r="33" spans="1:7">
      <c r="A33" t="s">
        <v>2708</v>
      </c>
      <c r="B33" t="s">
        <v>196</v>
      </c>
      <c r="C33" t="s">
        <v>2660</v>
      </c>
      <c r="D33" t="s">
        <v>2709</v>
      </c>
      <c r="E33" s="2">
        <v>46055</v>
      </c>
      <c r="F33" s="2"/>
      <c r="G33" t="s">
        <v>2638</v>
      </c>
    </row>
    <row r="34" spans="1:7">
      <c r="A34" t="s">
        <v>2710</v>
      </c>
      <c r="B34" t="s">
        <v>199</v>
      </c>
      <c r="C34" t="s">
        <v>2636</v>
      </c>
      <c r="D34" t="s">
        <v>2711</v>
      </c>
      <c r="E34" s="2">
        <v>46056</v>
      </c>
      <c r="F34" s="2">
        <v>46149</v>
      </c>
      <c r="G34" t="s">
        <v>2645</v>
      </c>
    </row>
    <row r="35" spans="1:7">
      <c r="A35" t="s">
        <v>2712</v>
      </c>
      <c r="B35" t="s">
        <v>202</v>
      </c>
      <c r="C35" t="s">
        <v>2640</v>
      </c>
      <c r="D35" t="s">
        <v>2713</v>
      </c>
      <c r="E35" s="2">
        <v>46057</v>
      </c>
      <c r="F35" s="2">
        <v>46151</v>
      </c>
      <c r="G35" t="s">
        <v>2649</v>
      </c>
    </row>
    <row r="36" spans="1:7">
      <c r="A36" t="s">
        <v>2714</v>
      </c>
      <c r="B36" t="s">
        <v>205</v>
      </c>
      <c r="C36" t="s">
        <v>2643</v>
      </c>
      <c r="D36" t="s">
        <v>2715</v>
      </c>
      <c r="E36" s="2">
        <v>46058</v>
      </c>
      <c r="F36" s="2"/>
      <c r="G36" t="s">
        <v>2638</v>
      </c>
    </row>
    <row r="37" spans="1:7">
      <c r="A37" t="s">
        <v>2716</v>
      </c>
      <c r="B37" t="s">
        <v>208</v>
      </c>
      <c r="C37" t="s">
        <v>2647</v>
      </c>
      <c r="D37" t="s">
        <v>2717</v>
      </c>
      <c r="E37" s="2">
        <v>46059</v>
      </c>
      <c r="F37" s="2"/>
      <c r="G37" t="s">
        <v>2638</v>
      </c>
    </row>
    <row r="38" spans="1:7">
      <c r="A38" t="s">
        <v>2718</v>
      </c>
      <c r="B38" t="s">
        <v>211</v>
      </c>
      <c r="C38" t="s">
        <v>2651</v>
      </c>
      <c r="D38" t="s">
        <v>2719</v>
      </c>
      <c r="E38" s="2">
        <v>46060</v>
      </c>
      <c r="F38" s="2"/>
      <c r="G38" t="s">
        <v>2638</v>
      </c>
    </row>
    <row r="39" spans="1:7">
      <c r="A39" t="s">
        <v>2720</v>
      </c>
      <c r="B39" t="s">
        <v>214</v>
      </c>
      <c r="C39" t="s">
        <v>2654</v>
      </c>
      <c r="D39" t="s">
        <v>2721</v>
      </c>
      <c r="E39" s="2">
        <v>46061</v>
      </c>
      <c r="F39" s="2">
        <v>46159</v>
      </c>
      <c r="G39" t="s">
        <v>2645</v>
      </c>
    </row>
    <row r="40" spans="1:7">
      <c r="A40" t="s">
        <v>2722</v>
      </c>
      <c r="B40" t="s">
        <v>217</v>
      </c>
      <c r="C40" t="s">
        <v>2657</v>
      </c>
      <c r="D40" t="s">
        <v>2723</v>
      </c>
      <c r="E40" s="2">
        <v>46062</v>
      </c>
      <c r="F40" s="2">
        <v>46161</v>
      </c>
      <c r="G40" t="s">
        <v>2649</v>
      </c>
    </row>
    <row r="41" spans="1:7">
      <c r="A41" t="s">
        <v>2724</v>
      </c>
      <c r="B41" t="s">
        <v>220</v>
      </c>
      <c r="C41" t="s">
        <v>2660</v>
      </c>
      <c r="D41" t="s">
        <v>2725</v>
      </c>
      <c r="E41" s="2">
        <v>46063</v>
      </c>
      <c r="F41" s="2"/>
      <c r="G41" t="s">
        <v>2638</v>
      </c>
    </row>
    <row r="42" spans="1:7">
      <c r="A42" t="s">
        <v>2726</v>
      </c>
      <c r="B42" t="s">
        <v>223</v>
      </c>
      <c r="C42" t="s">
        <v>2636</v>
      </c>
      <c r="D42" t="s">
        <v>2727</v>
      </c>
      <c r="E42" s="2">
        <v>46064</v>
      </c>
      <c r="F42" s="2"/>
      <c r="G42" t="s">
        <v>2638</v>
      </c>
    </row>
    <row r="43" spans="1:7">
      <c r="A43" t="s">
        <v>2728</v>
      </c>
      <c r="B43" t="s">
        <v>226</v>
      </c>
      <c r="C43" t="s">
        <v>2640</v>
      </c>
      <c r="D43" t="s">
        <v>2729</v>
      </c>
      <c r="E43" s="2">
        <v>46065</v>
      </c>
      <c r="F43" s="2"/>
      <c r="G43" t="s">
        <v>2638</v>
      </c>
    </row>
    <row r="44" spans="1:7">
      <c r="A44" t="s">
        <v>2730</v>
      </c>
      <c r="B44" t="s">
        <v>229</v>
      </c>
      <c r="C44" t="s">
        <v>2643</v>
      </c>
      <c r="D44" t="s">
        <v>2731</v>
      </c>
      <c r="E44" s="2">
        <v>46066</v>
      </c>
      <c r="F44" s="2">
        <v>46169</v>
      </c>
      <c r="G44" t="s">
        <v>2645</v>
      </c>
    </row>
    <row r="45" spans="1:7">
      <c r="A45" t="s">
        <v>2732</v>
      </c>
      <c r="B45" t="s">
        <v>232</v>
      </c>
      <c r="C45" t="s">
        <v>2647</v>
      </c>
      <c r="D45" t="s">
        <v>2733</v>
      </c>
      <c r="E45" s="2">
        <v>46067</v>
      </c>
      <c r="F45" s="2">
        <v>46171</v>
      </c>
      <c r="G45" t="s">
        <v>2649</v>
      </c>
    </row>
    <row r="46" spans="1:7">
      <c r="A46" t="s">
        <v>2734</v>
      </c>
      <c r="B46" t="s">
        <v>235</v>
      </c>
      <c r="C46" t="s">
        <v>2651</v>
      </c>
      <c r="D46" t="s">
        <v>2735</v>
      </c>
      <c r="E46" s="2">
        <v>46068</v>
      </c>
      <c r="F46" s="2"/>
      <c r="G46" t="s">
        <v>2638</v>
      </c>
    </row>
    <row r="47" spans="1:7">
      <c r="A47" t="s">
        <v>2736</v>
      </c>
      <c r="B47" t="s">
        <v>238</v>
      </c>
      <c r="C47" t="s">
        <v>2654</v>
      </c>
      <c r="D47" t="s">
        <v>2737</v>
      </c>
      <c r="E47" s="2">
        <v>46069</v>
      </c>
      <c r="F47" s="2"/>
      <c r="G47" t="s">
        <v>2638</v>
      </c>
    </row>
    <row r="48" spans="1:7">
      <c r="A48" t="s">
        <v>2738</v>
      </c>
      <c r="B48" t="s">
        <v>241</v>
      </c>
      <c r="C48" t="s">
        <v>2657</v>
      </c>
      <c r="D48" t="s">
        <v>2739</v>
      </c>
      <c r="E48" s="2">
        <v>46070</v>
      </c>
      <c r="F48" s="2"/>
      <c r="G48" t="s">
        <v>2638</v>
      </c>
    </row>
    <row r="49" spans="1:7">
      <c r="A49" t="s">
        <v>2740</v>
      </c>
      <c r="B49" t="s">
        <v>244</v>
      </c>
      <c r="C49" t="s">
        <v>2660</v>
      </c>
      <c r="D49" t="s">
        <v>2741</v>
      </c>
      <c r="E49" s="2">
        <v>46071</v>
      </c>
      <c r="F49" s="2">
        <v>46179</v>
      </c>
      <c r="G49" t="s">
        <v>2645</v>
      </c>
    </row>
    <row r="50" spans="1:7">
      <c r="A50" t="s">
        <v>2742</v>
      </c>
      <c r="B50" t="s">
        <v>247</v>
      </c>
      <c r="C50" t="s">
        <v>2636</v>
      </c>
      <c r="D50" t="s">
        <v>2743</v>
      </c>
      <c r="E50" s="2">
        <v>46072</v>
      </c>
      <c r="F50" s="2">
        <v>46181</v>
      </c>
      <c r="G50" t="s">
        <v>2649</v>
      </c>
    </row>
    <row r="51" spans="1:7">
      <c r="A51" t="s">
        <v>2744</v>
      </c>
      <c r="B51" t="s">
        <v>250</v>
      </c>
      <c r="C51" t="s">
        <v>2640</v>
      </c>
      <c r="D51" t="s">
        <v>2745</v>
      </c>
      <c r="E51" s="2">
        <v>46073</v>
      </c>
      <c r="F51" s="2"/>
      <c r="G51" t="s">
        <v>2638</v>
      </c>
    </row>
    <row r="52" spans="1:7">
      <c r="A52" t="s">
        <v>2746</v>
      </c>
      <c r="B52" t="s">
        <v>253</v>
      </c>
      <c r="C52" t="s">
        <v>2643</v>
      </c>
      <c r="D52" t="s">
        <v>2747</v>
      </c>
      <c r="E52" s="2">
        <v>46074</v>
      </c>
      <c r="F52" s="2"/>
      <c r="G52" t="s">
        <v>2638</v>
      </c>
    </row>
    <row r="53" spans="1:7">
      <c r="A53" t="s">
        <v>2748</v>
      </c>
      <c r="B53" t="s">
        <v>256</v>
      </c>
      <c r="C53" t="s">
        <v>2647</v>
      </c>
      <c r="D53" t="s">
        <v>2749</v>
      </c>
      <c r="E53" s="2">
        <v>46075</v>
      </c>
      <c r="F53" s="2"/>
      <c r="G53" t="s">
        <v>2638</v>
      </c>
    </row>
    <row r="54" spans="1:7">
      <c r="A54" t="s">
        <v>2750</v>
      </c>
      <c r="B54" t="s">
        <v>259</v>
      </c>
      <c r="C54" t="s">
        <v>2651</v>
      </c>
      <c r="D54" t="s">
        <v>2751</v>
      </c>
      <c r="E54" s="2">
        <v>46076</v>
      </c>
      <c r="F54" s="2">
        <v>46139</v>
      </c>
      <c r="G54" t="s">
        <v>2645</v>
      </c>
    </row>
    <row r="55" spans="1:7">
      <c r="A55" t="s">
        <v>2752</v>
      </c>
      <c r="B55" t="s">
        <v>262</v>
      </c>
      <c r="C55" t="s">
        <v>2654</v>
      </c>
      <c r="D55" t="s">
        <v>2753</v>
      </c>
      <c r="E55" s="2">
        <v>46077</v>
      </c>
      <c r="F55" s="2">
        <v>46141</v>
      </c>
      <c r="G55" t="s">
        <v>2649</v>
      </c>
    </row>
    <row r="56" spans="1:7">
      <c r="A56" t="s">
        <v>2754</v>
      </c>
      <c r="B56" t="s">
        <v>265</v>
      </c>
      <c r="C56" t="s">
        <v>2657</v>
      </c>
      <c r="D56" t="s">
        <v>2755</v>
      </c>
      <c r="E56" s="2">
        <v>46078</v>
      </c>
      <c r="F56" s="2"/>
      <c r="G56" t="s">
        <v>2638</v>
      </c>
    </row>
    <row r="57" spans="1:7">
      <c r="A57" t="s">
        <v>2756</v>
      </c>
      <c r="B57" t="s">
        <v>268</v>
      </c>
      <c r="C57" t="s">
        <v>2660</v>
      </c>
      <c r="D57" t="s">
        <v>2757</v>
      </c>
      <c r="E57" s="2">
        <v>46079</v>
      </c>
      <c r="F57" s="2"/>
      <c r="G57" t="s">
        <v>2638</v>
      </c>
    </row>
    <row r="58" spans="1:7">
      <c r="A58" t="s">
        <v>2758</v>
      </c>
      <c r="B58" t="s">
        <v>271</v>
      </c>
      <c r="C58" t="s">
        <v>2636</v>
      </c>
      <c r="D58" t="s">
        <v>2759</v>
      </c>
      <c r="E58" s="2">
        <v>46080</v>
      </c>
      <c r="F58" s="2"/>
      <c r="G58" t="s">
        <v>2638</v>
      </c>
    </row>
    <row r="59" spans="1:7">
      <c r="A59" t="s">
        <v>2760</v>
      </c>
      <c r="B59" t="s">
        <v>274</v>
      </c>
      <c r="C59" t="s">
        <v>2640</v>
      </c>
      <c r="D59" t="s">
        <v>2761</v>
      </c>
      <c r="E59" s="2">
        <v>46081</v>
      </c>
      <c r="F59" s="2">
        <v>46149</v>
      </c>
      <c r="G59" t="s">
        <v>2645</v>
      </c>
    </row>
    <row r="60" spans="1:7">
      <c r="A60" t="s">
        <v>2762</v>
      </c>
      <c r="B60" t="s">
        <v>277</v>
      </c>
      <c r="C60" t="s">
        <v>2643</v>
      </c>
      <c r="D60" t="s">
        <v>2763</v>
      </c>
      <c r="E60" s="2">
        <v>46082</v>
      </c>
      <c r="F60" s="2">
        <v>46151</v>
      </c>
      <c r="G60" t="s">
        <v>2649</v>
      </c>
    </row>
    <row r="61" spans="1:7">
      <c r="A61" t="s">
        <v>2764</v>
      </c>
      <c r="B61" t="s">
        <v>280</v>
      </c>
      <c r="C61" t="s">
        <v>2647</v>
      </c>
      <c r="D61" t="s">
        <v>2765</v>
      </c>
      <c r="E61" s="2">
        <v>46083</v>
      </c>
      <c r="F61" s="2"/>
      <c r="G61" t="s">
        <v>2638</v>
      </c>
    </row>
    <row r="62" spans="1:7">
      <c r="A62" t="s">
        <v>2766</v>
      </c>
      <c r="B62" t="s">
        <v>283</v>
      </c>
      <c r="C62" t="s">
        <v>2651</v>
      </c>
      <c r="D62" t="s">
        <v>2767</v>
      </c>
      <c r="E62" s="2">
        <v>46084</v>
      </c>
      <c r="F62" s="2"/>
      <c r="G62" t="s">
        <v>2638</v>
      </c>
    </row>
    <row r="63" spans="1:7">
      <c r="A63" t="s">
        <v>2768</v>
      </c>
      <c r="B63" t="s">
        <v>286</v>
      </c>
      <c r="C63" t="s">
        <v>2654</v>
      </c>
      <c r="D63" t="s">
        <v>2769</v>
      </c>
      <c r="E63" s="2">
        <v>46085</v>
      </c>
      <c r="F63" s="2"/>
      <c r="G63" t="s">
        <v>2638</v>
      </c>
    </row>
    <row r="64" spans="1:7">
      <c r="A64" t="s">
        <v>2770</v>
      </c>
      <c r="B64" t="s">
        <v>289</v>
      </c>
      <c r="C64" t="s">
        <v>2657</v>
      </c>
      <c r="D64" t="s">
        <v>2771</v>
      </c>
      <c r="E64" s="2">
        <v>46086</v>
      </c>
      <c r="F64" s="2">
        <v>46159</v>
      </c>
      <c r="G64" t="s">
        <v>2645</v>
      </c>
    </row>
    <row r="65" spans="1:7">
      <c r="A65" t="s">
        <v>2772</v>
      </c>
      <c r="B65" t="s">
        <v>292</v>
      </c>
      <c r="C65" t="s">
        <v>2660</v>
      </c>
      <c r="D65" t="s">
        <v>2773</v>
      </c>
      <c r="E65" s="2">
        <v>46087</v>
      </c>
      <c r="F65" s="2">
        <v>46161</v>
      </c>
      <c r="G65" t="s">
        <v>2649</v>
      </c>
    </row>
    <row r="66" spans="1:7">
      <c r="A66" t="s">
        <v>2774</v>
      </c>
      <c r="B66" t="s">
        <v>295</v>
      </c>
      <c r="C66" t="s">
        <v>2636</v>
      </c>
      <c r="D66" t="s">
        <v>2775</v>
      </c>
      <c r="E66" s="2">
        <v>46088</v>
      </c>
      <c r="F66" s="2"/>
      <c r="G66" t="s">
        <v>2638</v>
      </c>
    </row>
    <row r="67" spans="1:7">
      <c r="A67" t="s">
        <v>2776</v>
      </c>
      <c r="B67" t="s">
        <v>298</v>
      </c>
      <c r="C67" t="s">
        <v>2640</v>
      </c>
      <c r="D67" t="s">
        <v>2777</v>
      </c>
      <c r="E67" s="2">
        <v>46089</v>
      </c>
      <c r="F67" s="2"/>
      <c r="G67" t="s">
        <v>2638</v>
      </c>
    </row>
    <row r="68" spans="1:7">
      <c r="A68" t="s">
        <v>2778</v>
      </c>
      <c r="B68" t="s">
        <v>301</v>
      </c>
      <c r="C68" t="s">
        <v>2643</v>
      </c>
      <c r="D68" t="s">
        <v>2779</v>
      </c>
      <c r="E68" s="2">
        <v>46090</v>
      </c>
      <c r="F68" s="2"/>
      <c r="G68" t="s">
        <v>2638</v>
      </c>
    </row>
    <row r="69" spans="1:7">
      <c r="A69" t="s">
        <v>2780</v>
      </c>
      <c r="B69" t="s">
        <v>304</v>
      </c>
      <c r="C69" t="s">
        <v>2647</v>
      </c>
      <c r="D69" t="s">
        <v>2781</v>
      </c>
      <c r="E69" s="2">
        <v>46091</v>
      </c>
      <c r="F69" s="2">
        <v>46169</v>
      </c>
      <c r="G69" t="s">
        <v>2645</v>
      </c>
    </row>
    <row r="70" spans="1:7">
      <c r="A70" t="s">
        <v>2782</v>
      </c>
      <c r="B70" t="s">
        <v>307</v>
      </c>
      <c r="C70" t="s">
        <v>2651</v>
      </c>
      <c r="D70" t="s">
        <v>2783</v>
      </c>
      <c r="E70" s="2">
        <v>46092</v>
      </c>
      <c r="F70" s="2">
        <v>46171</v>
      </c>
      <c r="G70" t="s">
        <v>2649</v>
      </c>
    </row>
    <row r="71" spans="1:7">
      <c r="A71" t="s">
        <v>2784</v>
      </c>
      <c r="B71" t="s">
        <v>310</v>
      </c>
      <c r="C71" t="s">
        <v>2654</v>
      </c>
      <c r="D71" t="s">
        <v>2785</v>
      </c>
      <c r="E71" s="2">
        <v>46093</v>
      </c>
      <c r="F71" s="2"/>
      <c r="G71" t="s">
        <v>2638</v>
      </c>
    </row>
    <row r="72" spans="1:7">
      <c r="A72" t="s">
        <v>2786</v>
      </c>
      <c r="B72" t="s">
        <v>313</v>
      </c>
      <c r="C72" t="s">
        <v>2657</v>
      </c>
      <c r="D72" t="s">
        <v>2787</v>
      </c>
      <c r="E72" s="2">
        <v>46094</v>
      </c>
      <c r="F72" s="2"/>
      <c r="G72" t="s">
        <v>2638</v>
      </c>
    </row>
    <row r="73" spans="1:7">
      <c r="A73" t="s">
        <v>2788</v>
      </c>
      <c r="B73" t="s">
        <v>316</v>
      </c>
      <c r="C73" t="s">
        <v>2660</v>
      </c>
      <c r="D73" t="s">
        <v>2789</v>
      </c>
      <c r="E73" s="2">
        <v>46095</v>
      </c>
      <c r="F73" s="2"/>
      <c r="G73" t="s">
        <v>2638</v>
      </c>
    </row>
    <row r="74" spans="1:7">
      <c r="A74" t="s">
        <v>2790</v>
      </c>
      <c r="B74" t="s">
        <v>319</v>
      </c>
      <c r="C74" t="s">
        <v>2636</v>
      </c>
      <c r="D74" t="s">
        <v>2791</v>
      </c>
      <c r="E74" s="2">
        <v>46096</v>
      </c>
      <c r="F74" s="2">
        <v>46179</v>
      </c>
      <c r="G74" t="s">
        <v>2645</v>
      </c>
    </row>
    <row r="75" spans="1:7">
      <c r="A75" t="s">
        <v>2792</v>
      </c>
      <c r="B75" t="s">
        <v>322</v>
      </c>
      <c r="C75" t="s">
        <v>2640</v>
      </c>
      <c r="D75" t="s">
        <v>2793</v>
      </c>
      <c r="E75" s="2">
        <v>46097</v>
      </c>
      <c r="F75" s="2">
        <v>46181</v>
      </c>
      <c r="G75" t="s">
        <v>2649</v>
      </c>
    </row>
    <row r="76" spans="1:7">
      <c r="A76" t="s">
        <v>2794</v>
      </c>
      <c r="B76" t="s">
        <v>325</v>
      </c>
      <c r="C76" t="s">
        <v>2643</v>
      </c>
      <c r="D76" t="s">
        <v>2795</v>
      </c>
      <c r="E76" s="2">
        <v>46098</v>
      </c>
      <c r="F76" s="2"/>
      <c r="G76" t="s">
        <v>2638</v>
      </c>
    </row>
    <row r="77" spans="1:7">
      <c r="A77" t="s">
        <v>2796</v>
      </c>
      <c r="B77" t="s">
        <v>328</v>
      </c>
      <c r="C77" t="s">
        <v>2647</v>
      </c>
      <c r="D77" t="s">
        <v>2797</v>
      </c>
      <c r="E77" s="2">
        <v>46099</v>
      </c>
      <c r="F77" s="2"/>
      <c r="G77" t="s">
        <v>2638</v>
      </c>
    </row>
    <row r="78" spans="1:7">
      <c r="A78" t="s">
        <v>2798</v>
      </c>
      <c r="B78" t="s">
        <v>331</v>
      </c>
      <c r="C78" t="s">
        <v>2651</v>
      </c>
      <c r="D78" t="s">
        <v>2799</v>
      </c>
      <c r="E78" s="2">
        <v>46100</v>
      </c>
      <c r="F78" s="2"/>
      <c r="G78" t="s">
        <v>2638</v>
      </c>
    </row>
    <row r="79" spans="1:7">
      <c r="A79" t="s">
        <v>2800</v>
      </c>
      <c r="B79" t="s">
        <v>334</v>
      </c>
      <c r="C79" t="s">
        <v>2654</v>
      </c>
      <c r="D79" t="s">
        <v>2801</v>
      </c>
      <c r="E79" s="2">
        <v>46101</v>
      </c>
      <c r="F79" s="2">
        <v>46189</v>
      </c>
      <c r="G79" t="s">
        <v>2645</v>
      </c>
    </row>
    <row r="80" spans="1:7">
      <c r="A80" t="s">
        <v>2802</v>
      </c>
      <c r="B80" t="s">
        <v>337</v>
      </c>
      <c r="C80" t="s">
        <v>2657</v>
      </c>
      <c r="D80" t="s">
        <v>2803</v>
      </c>
      <c r="E80" s="2">
        <v>46102</v>
      </c>
      <c r="F80" s="2">
        <v>46191</v>
      </c>
      <c r="G80" t="s">
        <v>2649</v>
      </c>
    </row>
    <row r="81" spans="1:7">
      <c r="A81" t="s">
        <v>2804</v>
      </c>
      <c r="B81" t="s">
        <v>340</v>
      </c>
      <c r="C81" t="s">
        <v>2660</v>
      </c>
      <c r="D81" t="s">
        <v>2805</v>
      </c>
      <c r="E81" s="2">
        <v>46103</v>
      </c>
      <c r="F81" s="2"/>
      <c r="G81" t="s">
        <v>2638</v>
      </c>
    </row>
    <row r="82" spans="1:7">
      <c r="A82" t="s">
        <v>2806</v>
      </c>
      <c r="B82" t="s">
        <v>343</v>
      </c>
      <c r="C82" t="s">
        <v>2636</v>
      </c>
      <c r="D82" t="s">
        <v>2807</v>
      </c>
      <c r="E82" s="2">
        <v>46104</v>
      </c>
      <c r="F82" s="2"/>
      <c r="G82" t="s">
        <v>2638</v>
      </c>
    </row>
    <row r="83" spans="1:7">
      <c r="A83" t="s">
        <v>2808</v>
      </c>
      <c r="B83" t="s">
        <v>346</v>
      </c>
      <c r="C83" t="s">
        <v>2640</v>
      </c>
      <c r="D83" t="s">
        <v>2809</v>
      </c>
      <c r="E83" s="2">
        <v>46105</v>
      </c>
      <c r="F83" s="2"/>
      <c r="G83" t="s">
        <v>2638</v>
      </c>
    </row>
    <row r="84" spans="1:7">
      <c r="A84" t="s">
        <v>2810</v>
      </c>
      <c r="B84" t="s">
        <v>349</v>
      </c>
      <c r="C84" t="s">
        <v>2643</v>
      </c>
      <c r="D84" t="s">
        <v>2811</v>
      </c>
      <c r="E84" s="2">
        <v>46106</v>
      </c>
      <c r="F84" s="2">
        <v>46199</v>
      </c>
      <c r="G84" t="s">
        <v>2645</v>
      </c>
    </row>
    <row r="85" spans="1:7">
      <c r="A85" t="s">
        <v>2812</v>
      </c>
      <c r="B85" t="s">
        <v>352</v>
      </c>
      <c r="C85" t="s">
        <v>2647</v>
      </c>
      <c r="D85" t="s">
        <v>2813</v>
      </c>
      <c r="E85" s="2">
        <v>46107</v>
      </c>
      <c r="F85" s="2">
        <v>46201</v>
      </c>
      <c r="G85" t="s">
        <v>2649</v>
      </c>
    </row>
    <row r="86" spans="1:7">
      <c r="A86" t="s">
        <v>2814</v>
      </c>
      <c r="B86" t="s">
        <v>355</v>
      </c>
      <c r="C86" t="s">
        <v>2651</v>
      </c>
      <c r="D86" t="s">
        <v>2815</v>
      </c>
      <c r="E86" s="2">
        <v>46108</v>
      </c>
      <c r="F86" s="2"/>
      <c r="G86" t="s">
        <v>2638</v>
      </c>
    </row>
    <row r="87" spans="1:7">
      <c r="A87" t="s">
        <v>2816</v>
      </c>
      <c r="B87" t="s">
        <v>358</v>
      </c>
      <c r="C87" t="s">
        <v>2654</v>
      </c>
      <c r="D87" t="s">
        <v>2817</v>
      </c>
      <c r="E87" s="2">
        <v>46109</v>
      </c>
      <c r="F87" s="2"/>
      <c r="G87" t="s">
        <v>2638</v>
      </c>
    </row>
    <row r="88" spans="1:7">
      <c r="A88" t="s">
        <v>2818</v>
      </c>
      <c r="B88" t="s">
        <v>361</v>
      </c>
      <c r="C88" t="s">
        <v>2657</v>
      </c>
      <c r="D88" t="s">
        <v>2819</v>
      </c>
      <c r="E88" s="2">
        <v>46110</v>
      </c>
      <c r="F88" s="2"/>
      <c r="G88" t="s">
        <v>2638</v>
      </c>
    </row>
    <row r="89" spans="1:7">
      <c r="A89" t="s">
        <v>2820</v>
      </c>
      <c r="B89" t="s">
        <v>364</v>
      </c>
      <c r="C89" t="s">
        <v>2660</v>
      </c>
      <c r="D89" t="s">
        <v>2821</v>
      </c>
      <c r="E89" s="2">
        <v>46111</v>
      </c>
      <c r="F89" s="2">
        <v>46209</v>
      </c>
      <c r="G89" t="s">
        <v>2645</v>
      </c>
    </row>
    <row r="90" spans="1:7">
      <c r="A90" t="s">
        <v>2822</v>
      </c>
      <c r="B90" t="s">
        <v>367</v>
      </c>
      <c r="C90" t="s">
        <v>2636</v>
      </c>
      <c r="D90" t="s">
        <v>2823</v>
      </c>
      <c r="E90" s="2">
        <v>46112</v>
      </c>
      <c r="F90" s="2">
        <v>46211</v>
      </c>
      <c r="G90" t="s">
        <v>2649</v>
      </c>
    </row>
    <row r="91" spans="1:7">
      <c r="A91" t="s">
        <v>2824</v>
      </c>
      <c r="B91" t="s">
        <v>370</v>
      </c>
      <c r="C91" t="s">
        <v>2640</v>
      </c>
      <c r="D91" t="s">
        <v>2825</v>
      </c>
      <c r="E91" s="2">
        <v>46113</v>
      </c>
      <c r="F91" s="2"/>
      <c r="G91" t="s">
        <v>2638</v>
      </c>
    </row>
    <row r="92" spans="1:7">
      <c r="A92" t="s">
        <v>2826</v>
      </c>
      <c r="B92" t="s">
        <v>373</v>
      </c>
      <c r="C92" t="s">
        <v>2643</v>
      </c>
      <c r="D92" t="s">
        <v>2827</v>
      </c>
      <c r="E92" s="2">
        <v>46114</v>
      </c>
      <c r="F92" s="2"/>
      <c r="G92" t="s">
        <v>2638</v>
      </c>
    </row>
    <row r="93" spans="1:7">
      <c r="A93" t="s">
        <v>2828</v>
      </c>
      <c r="B93" t="s">
        <v>376</v>
      </c>
      <c r="C93" t="s">
        <v>2647</v>
      </c>
      <c r="D93" t="s">
        <v>2829</v>
      </c>
      <c r="E93" s="2">
        <v>46115</v>
      </c>
      <c r="F93" s="2"/>
      <c r="G93" t="s">
        <v>2638</v>
      </c>
    </row>
    <row r="94" spans="1:7">
      <c r="A94" t="s">
        <v>2830</v>
      </c>
      <c r="B94" t="s">
        <v>379</v>
      </c>
      <c r="C94" t="s">
        <v>2651</v>
      </c>
      <c r="D94" t="s">
        <v>2831</v>
      </c>
      <c r="E94" s="2">
        <v>46116</v>
      </c>
      <c r="F94" s="2">
        <v>46219</v>
      </c>
      <c r="G94" t="s">
        <v>2645</v>
      </c>
    </row>
    <row r="95" spans="1:7">
      <c r="A95" t="s">
        <v>2832</v>
      </c>
      <c r="B95" t="s">
        <v>382</v>
      </c>
      <c r="C95" t="s">
        <v>2654</v>
      </c>
      <c r="D95" t="s">
        <v>2833</v>
      </c>
      <c r="E95" s="2">
        <v>46117</v>
      </c>
      <c r="F95" s="2">
        <v>46221</v>
      </c>
      <c r="G95" t="s">
        <v>2649</v>
      </c>
    </row>
    <row r="96" spans="1:7">
      <c r="A96" t="s">
        <v>2834</v>
      </c>
      <c r="B96" t="s">
        <v>385</v>
      </c>
      <c r="C96" t="s">
        <v>2657</v>
      </c>
      <c r="D96" t="s">
        <v>2835</v>
      </c>
      <c r="E96" s="2">
        <v>46118</v>
      </c>
      <c r="F96" s="2"/>
      <c r="G96" t="s">
        <v>2638</v>
      </c>
    </row>
    <row r="97" spans="1:7">
      <c r="A97" t="s">
        <v>2836</v>
      </c>
      <c r="B97" t="s">
        <v>388</v>
      </c>
      <c r="C97" t="s">
        <v>2660</v>
      </c>
      <c r="D97" t="s">
        <v>2837</v>
      </c>
      <c r="E97" s="2">
        <v>46119</v>
      </c>
      <c r="F97" s="2"/>
      <c r="G97" t="s">
        <v>2638</v>
      </c>
    </row>
    <row r="98" spans="1:7">
      <c r="A98" t="s">
        <v>2838</v>
      </c>
      <c r="B98" t="s">
        <v>391</v>
      </c>
      <c r="C98" t="s">
        <v>2636</v>
      </c>
      <c r="D98" t="s">
        <v>2839</v>
      </c>
      <c r="E98" s="2">
        <v>46120</v>
      </c>
      <c r="F98" s="2"/>
      <c r="G98" t="s">
        <v>2638</v>
      </c>
    </row>
    <row r="99" spans="1:7">
      <c r="A99" t="s">
        <v>2840</v>
      </c>
      <c r="B99" t="s">
        <v>394</v>
      </c>
      <c r="C99" t="s">
        <v>2640</v>
      </c>
      <c r="D99" t="s">
        <v>2841</v>
      </c>
      <c r="E99" s="2">
        <v>46121</v>
      </c>
      <c r="F99" s="2">
        <v>46229</v>
      </c>
      <c r="G99" t="s">
        <v>2645</v>
      </c>
    </row>
    <row r="100" spans="1:7">
      <c r="A100" t="s">
        <v>2842</v>
      </c>
      <c r="B100" t="s">
        <v>397</v>
      </c>
      <c r="C100" t="s">
        <v>2643</v>
      </c>
      <c r="D100" t="s">
        <v>2843</v>
      </c>
      <c r="E100" s="2">
        <v>46122</v>
      </c>
      <c r="F100" s="2">
        <v>46231</v>
      </c>
      <c r="G100" t="s">
        <v>2649</v>
      </c>
    </row>
    <row r="101" spans="1:7">
      <c r="A101" t="s">
        <v>2844</v>
      </c>
      <c r="B101" t="s">
        <v>400</v>
      </c>
      <c r="C101" t="s">
        <v>2647</v>
      </c>
      <c r="D101" t="s">
        <v>2845</v>
      </c>
      <c r="E101" s="2">
        <v>46123</v>
      </c>
      <c r="F101" s="2"/>
      <c r="G101" t="s">
        <v>2638</v>
      </c>
    </row>
    <row r="102" spans="1:7">
      <c r="A102" t="s">
        <v>2846</v>
      </c>
      <c r="B102" t="s">
        <v>403</v>
      </c>
      <c r="C102" t="s">
        <v>2651</v>
      </c>
      <c r="D102" t="s">
        <v>2847</v>
      </c>
      <c r="E102" s="2">
        <v>46124</v>
      </c>
      <c r="F102" s="2"/>
      <c r="G102" t="s">
        <v>2638</v>
      </c>
    </row>
    <row r="103" spans="1:7">
      <c r="A103" t="s">
        <v>2848</v>
      </c>
      <c r="B103" t="s">
        <v>406</v>
      </c>
      <c r="C103" t="s">
        <v>2654</v>
      </c>
      <c r="D103" t="s">
        <v>2849</v>
      </c>
      <c r="E103" s="2">
        <v>46125</v>
      </c>
      <c r="F103" s="2"/>
      <c r="G103" t="s">
        <v>2638</v>
      </c>
    </row>
    <row r="104" spans="1:7">
      <c r="A104" t="s">
        <v>2850</v>
      </c>
      <c r="B104" t="s">
        <v>409</v>
      </c>
      <c r="C104" t="s">
        <v>2657</v>
      </c>
      <c r="D104" t="s">
        <v>2851</v>
      </c>
      <c r="E104" s="2">
        <v>46126</v>
      </c>
      <c r="F104" s="2">
        <v>46189</v>
      </c>
      <c r="G104" t="s">
        <v>2645</v>
      </c>
    </row>
    <row r="105" spans="1:7">
      <c r="A105" t="s">
        <v>2852</v>
      </c>
      <c r="B105" t="s">
        <v>412</v>
      </c>
      <c r="C105" t="s">
        <v>2660</v>
      </c>
      <c r="D105" t="s">
        <v>2853</v>
      </c>
      <c r="E105" s="2">
        <v>46127</v>
      </c>
      <c r="F105" s="2">
        <v>46191</v>
      </c>
      <c r="G105" t="s">
        <v>2649</v>
      </c>
    </row>
    <row r="106" spans="1:7">
      <c r="A106" t="s">
        <v>2854</v>
      </c>
      <c r="B106" t="s">
        <v>415</v>
      </c>
      <c r="C106" t="s">
        <v>2636</v>
      </c>
      <c r="D106" t="s">
        <v>2855</v>
      </c>
      <c r="E106" s="2">
        <v>46128</v>
      </c>
      <c r="F106" s="2"/>
      <c r="G106" t="s">
        <v>2638</v>
      </c>
    </row>
    <row r="107" spans="1:7">
      <c r="A107" t="s">
        <v>2856</v>
      </c>
      <c r="B107" t="s">
        <v>418</v>
      </c>
      <c r="C107" t="s">
        <v>2640</v>
      </c>
      <c r="D107" t="s">
        <v>2857</v>
      </c>
      <c r="E107" s="2">
        <v>46129</v>
      </c>
      <c r="F107" s="2"/>
      <c r="G107" t="s">
        <v>2638</v>
      </c>
    </row>
    <row r="108" spans="1:7">
      <c r="A108" t="s">
        <v>2858</v>
      </c>
      <c r="B108" t="s">
        <v>421</v>
      </c>
      <c r="C108" t="s">
        <v>2643</v>
      </c>
      <c r="D108" t="s">
        <v>2859</v>
      </c>
      <c r="E108" s="2">
        <v>46130</v>
      </c>
      <c r="F108" s="2"/>
      <c r="G108" t="s">
        <v>2638</v>
      </c>
    </row>
    <row r="109" spans="1:7">
      <c r="A109" t="s">
        <v>2860</v>
      </c>
      <c r="B109" t="s">
        <v>424</v>
      </c>
      <c r="C109" t="s">
        <v>2647</v>
      </c>
      <c r="D109" t="s">
        <v>2861</v>
      </c>
      <c r="E109" s="2">
        <v>46131</v>
      </c>
      <c r="F109" s="2">
        <v>46199</v>
      </c>
      <c r="G109" t="s">
        <v>2645</v>
      </c>
    </row>
    <row r="110" spans="1:7">
      <c r="A110" t="s">
        <v>2862</v>
      </c>
      <c r="B110" t="s">
        <v>427</v>
      </c>
      <c r="C110" t="s">
        <v>2651</v>
      </c>
      <c r="D110" t="s">
        <v>2863</v>
      </c>
      <c r="E110" s="2">
        <v>46132</v>
      </c>
      <c r="F110" s="2">
        <v>46201</v>
      </c>
      <c r="G110" t="s">
        <v>2649</v>
      </c>
    </row>
    <row r="111" spans="1:7">
      <c r="A111" t="s">
        <v>2864</v>
      </c>
      <c r="B111" t="s">
        <v>430</v>
      </c>
      <c r="C111" t="s">
        <v>2654</v>
      </c>
      <c r="D111" t="s">
        <v>2865</v>
      </c>
      <c r="E111" s="2">
        <v>46133</v>
      </c>
      <c r="F111" s="2"/>
      <c r="G111" t="s">
        <v>2638</v>
      </c>
    </row>
    <row r="112" spans="1:7">
      <c r="A112" t="s">
        <v>2866</v>
      </c>
      <c r="B112" t="s">
        <v>433</v>
      </c>
      <c r="C112" t="s">
        <v>2657</v>
      </c>
      <c r="D112" t="s">
        <v>2867</v>
      </c>
      <c r="E112" s="2">
        <v>46134</v>
      </c>
      <c r="F112" s="2"/>
      <c r="G112" t="s">
        <v>2638</v>
      </c>
    </row>
    <row r="113" spans="1:7">
      <c r="A113" t="s">
        <v>2868</v>
      </c>
      <c r="B113" t="s">
        <v>436</v>
      </c>
      <c r="C113" t="s">
        <v>2660</v>
      </c>
      <c r="D113" t="s">
        <v>2869</v>
      </c>
      <c r="E113" s="2">
        <v>46135</v>
      </c>
      <c r="F113" s="2"/>
      <c r="G113" t="s">
        <v>2638</v>
      </c>
    </row>
    <row r="114" spans="1:7">
      <c r="A114" t="s">
        <v>2870</v>
      </c>
      <c r="B114" t="s">
        <v>439</v>
      </c>
      <c r="C114" t="s">
        <v>2636</v>
      </c>
      <c r="D114" t="s">
        <v>2871</v>
      </c>
      <c r="E114" s="2">
        <v>46136</v>
      </c>
      <c r="F114" s="2">
        <v>46209</v>
      </c>
      <c r="G114" t="s">
        <v>2645</v>
      </c>
    </row>
    <row r="115" spans="1:7">
      <c r="A115" t="s">
        <v>2872</v>
      </c>
      <c r="B115" t="s">
        <v>442</v>
      </c>
      <c r="C115" t="s">
        <v>2640</v>
      </c>
      <c r="D115" t="s">
        <v>2873</v>
      </c>
      <c r="E115" s="2">
        <v>46137</v>
      </c>
      <c r="F115" s="2">
        <v>46211</v>
      </c>
      <c r="G115" t="s">
        <v>2649</v>
      </c>
    </row>
    <row r="116" spans="1:7">
      <c r="A116" t="s">
        <v>2874</v>
      </c>
      <c r="B116" t="s">
        <v>445</v>
      </c>
      <c r="C116" t="s">
        <v>2643</v>
      </c>
      <c r="D116" t="s">
        <v>2875</v>
      </c>
      <c r="E116" s="2">
        <v>46138</v>
      </c>
      <c r="F116" s="2"/>
      <c r="G116" t="s">
        <v>2638</v>
      </c>
    </row>
    <row r="117" spans="1:7">
      <c r="A117" t="s">
        <v>2876</v>
      </c>
      <c r="B117" t="s">
        <v>448</v>
      </c>
      <c r="C117" t="s">
        <v>2647</v>
      </c>
      <c r="D117" t="s">
        <v>2877</v>
      </c>
      <c r="E117" s="2">
        <v>46139</v>
      </c>
      <c r="F117" s="2"/>
      <c r="G117" t="s">
        <v>2638</v>
      </c>
    </row>
    <row r="118" spans="1:7">
      <c r="A118" t="s">
        <v>2878</v>
      </c>
      <c r="B118" t="s">
        <v>451</v>
      </c>
      <c r="C118" t="s">
        <v>2651</v>
      </c>
      <c r="D118" t="s">
        <v>2879</v>
      </c>
      <c r="E118" s="2">
        <v>46140</v>
      </c>
      <c r="F118" s="2"/>
      <c r="G118" t="s">
        <v>2638</v>
      </c>
    </row>
    <row r="119" spans="1:7">
      <c r="A119" t="s">
        <v>2880</v>
      </c>
      <c r="B119" t="s">
        <v>454</v>
      </c>
      <c r="C119" t="s">
        <v>2654</v>
      </c>
      <c r="D119" t="s">
        <v>2881</v>
      </c>
      <c r="E119" s="2">
        <v>46141</v>
      </c>
      <c r="F119" s="2">
        <v>46219</v>
      </c>
      <c r="G119" t="s">
        <v>2645</v>
      </c>
    </row>
    <row r="120" spans="1:7">
      <c r="A120" t="s">
        <v>2882</v>
      </c>
      <c r="B120" t="s">
        <v>457</v>
      </c>
      <c r="C120" t="s">
        <v>2657</v>
      </c>
      <c r="D120" t="s">
        <v>2883</v>
      </c>
      <c r="E120" s="2">
        <v>46142</v>
      </c>
      <c r="F120" s="2">
        <v>46221</v>
      </c>
      <c r="G120" t="s">
        <v>2649</v>
      </c>
    </row>
    <row r="121" spans="1:7">
      <c r="A121" t="s">
        <v>2884</v>
      </c>
      <c r="B121" t="s">
        <v>460</v>
      </c>
      <c r="C121" t="s">
        <v>2660</v>
      </c>
      <c r="D121" t="s">
        <v>2885</v>
      </c>
      <c r="E121" s="2">
        <v>46143</v>
      </c>
      <c r="F121" s="2"/>
      <c r="G121" t="s">
        <v>2638</v>
      </c>
    </row>
    <row r="122" spans="1:7">
      <c r="A122" t="s">
        <v>2886</v>
      </c>
      <c r="B122" t="s">
        <v>463</v>
      </c>
      <c r="C122" t="s">
        <v>2636</v>
      </c>
      <c r="D122" t="s">
        <v>2887</v>
      </c>
      <c r="E122" s="2">
        <v>46144</v>
      </c>
      <c r="F122" s="2"/>
      <c r="G122" t="s">
        <v>2638</v>
      </c>
    </row>
    <row r="123" spans="1:7">
      <c r="A123" t="s">
        <v>2888</v>
      </c>
      <c r="B123" t="s">
        <v>466</v>
      </c>
      <c r="C123" t="s">
        <v>2640</v>
      </c>
      <c r="D123" t="s">
        <v>2889</v>
      </c>
      <c r="E123" s="2">
        <v>46145</v>
      </c>
      <c r="F123" s="2"/>
      <c r="G123" t="s">
        <v>2638</v>
      </c>
    </row>
    <row r="124" spans="1:7">
      <c r="A124" t="s">
        <v>2890</v>
      </c>
      <c r="B124" t="s">
        <v>469</v>
      </c>
      <c r="C124" t="s">
        <v>2643</v>
      </c>
      <c r="D124" t="s">
        <v>2891</v>
      </c>
      <c r="E124" s="2">
        <v>46146</v>
      </c>
      <c r="F124" s="2">
        <v>46229</v>
      </c>
      <c r="G124" t="s">
        <v>2645</v>
      </c>
    </row>
    <row r="125" spans="1:7">
      <c r="A125" t="s">
        <v>2892</v>
      </c>
      <c r="B125" t="s">
        <v>472</v>
      </c>
      <c r="C125" t="s">
        <v>2647</v>
      </c>
      <c r="D125" t="s">
        <v>2893</v>
      </c>
      <c r="E125" s="2">
        <v>46147</v>
      </c>
      <c r="F125" s="2">
        <v>46231</v>
      </c>
      <c r="G125" t="s">
        <v>2649</v>
      </c>
    </row>
    <row r="126" spans="1:7">
      <c r="A126" t="s">
        <v>2894</v>
      </c>
      <c r="B126" t="s">
        <v>475</v>
      </c>
      <c r="C126" t="s">
        <v>2651</v>
      </c>
      <c r="D126" t="s">
        <v>2895</v>
      </c>
      <c r="E126" s="2">
        <v>46148</v>
      </c>
      <c r="F126" s="2"/>
      <c r="G126" t="s">
        <v>2638</v>
      </c>
    </row>
    <row r="127" spans="1:7">
      <c r="A127" t="s">
        <v>2896</v>
      </c>
      <c r="B127" t="s">
        <v>478</v>
      </c>
      <c r="C127" t="s">
        <v>2654</v>
      </c>
      <c r="D127" t="s">
        <v>2897</v>
      </c>
      <c r="E127" s="2">
        <v>46149</v>
      </c>
      <c r="F127" s="2"/>
      <c r="G127" t="s">
        <v>2638</v>
      </c>
    </row>
    <row r="128" spans="1:7">
      <c r="A128" t="s">
        <v>2898</v>
      </c>
      <c r="B128" t="s">
        <v>481</v>
      </c>
      <c r="C128" t="s">
        <v>2657</v>
      </c>
      <c r="D128" t="s">
        <v>2899</v>
      </c>
      <c r="E128" s="2">
        <v>46150</v>
      </c>
      <c r="F128" s="2"/>
      <c r="G128" t="s">
        <v>2638</v>
      </c>
    </row>
    <row r="129" spans="1:7">
      <c r="A129" t="s">
        <v>2900</v>
      </c>
      <c r="B129" t="s">
        <v>484</v>
      </c>
      <c r="C129" t="s">
        <v>2660</v>
      </c>
      <c r="D129" t="s">
        <v>2901</v>
      </c>
      <c r="E129" s="2">
        <v>46151</v>
      </c>
      <c r="F129" s="2">
        <v>46239</v>
      </c>
      <c r="G129" t="s">
        <v>2645</v>
      </c>
    </row>
    <row r="130" spans="1:7">
      <c r="A130" t="s">
        <v>2902</v>
      </c>
      <c r="B130" t="s">
        <v>487</v>
      </c>
      <c r="C130" t="s">
        <v>2636</v>
      </c>
      <c r="D130" t="s">
        <v>2903</v>
      </c>
      <c r="E130" s="2">
        <v>46152</v>
      </c>
      <c r="F130" s="2">
        <v>46241</v>
      </c>
      <c r="G130" t="s">
        <v>2649</v>
      </c>
    </row>
    <row r="131" spans="1:7">
      <c r="A131" t="s">
        <v>2904</v>
      </c>
      <c r="B131" t="s">
        <v>490</v>
      </c>
      <c r="C131" t="s">
        <v>2640</v>
      </c>
      <c r="D131" t="s">
        <v>2905</v>
      </c>
      <c r="E131" s="2">
        <v>46153</v>
      </c>
      <c r="F131" s="2"/>
      <c r="G131" t="s">
        <v>2638</v>
      </c>
    </row>
    <row r="132" spans="1:7">
      <c r="A132" t="s">
        <v>2906</v>
      </c>
      <c r="B132" t="s">
        <v>493</v>
      </c>
      <c r="C132" t="s">
        <v>2643</v>
      </c>
      <c r="D132" t="s">
        <v>2907</v>
      </c>
      <c r="E132" s="2">
        <v>46154</v>
      </c>
      <c r="F132" s="2"/>
      <c r="G132" t="s">
        <v>2638</v>
      </c>
    </row>
    <row r="133" spans="1:7">
      <c r="A133" t="s">
        <v>2908</v>
      </c>
      <c r="B133" t="s">
        <v>496</v>
      </c>
      <c r="C133" t="s">
        <v>2647</v>
      </c>
      <c r="D133" t="s">
        <v>2909</v>
      </c>
      <c r="E133" s="2">
        <v>46155</v>
      </c>
      <c r="F133" s="2"/>
      <c r="G133" t="s">
        <v>2638</v>
      </c>
    </row>
    <row r="134" spans="1:7">
      <c r="A134" t="s">
        <v>2910</v>
      </c>
      <c r="B134" t="s">
        <v>499</v>
      </c>
      <c r="C134" t="s">
        <v>2651</v>
      </c>
      <c r="D134" t="s">
        <v>2911</v>
      </c>
      <c r="E134" s="2">
        <v>46156</v>
      </c>
      <c r="F134" s="2">
        <v>46249</v>
      </c>
      <c r="G134" t="s">
        <v>2645</v>
      </c>
    </row>
    <row r="135" spans="1:7">
      <c r="A135" t="s">
        <v>2912</v>
      </c>
      <c r="B135" t="s">
        <v>502</v>
      </c>
      <c r="C135" t="s">
        <v>2654</v>
      </c>
      <c r="D135" t="s">
        <v>2913</v>
      </c>
      <c r="E135" s="2">
        <v>46157</v>
      </c>
      <c r="F135" s="2">
        <v>46251</v>
      </c>
      <c r="G135" t="s">
        <v>2649</v>
      </c>
    </row>
    <row r="136" spans="1:7">
      <c r="A136" t="s">
        <v>2914</v>
      </c>
      <c r="B136" t="s">
        <v>505</v>
      </c>
      <c r="C136" t="s">
        <v>2657</v>
      </c>
      <c r="D136" t="s">
        <v>2915</v>
      </c>
      <c r="E136" s="2">
        <v>46158</v>
      </c>
      <c r="F136" s="2"/>
      <c r="G136" t="s">
        <v>2638</v>
      </c>
    </row>
    <row r="137" spans="1:7">
      <c r="A137" t="s">
        <v>2916</v>
      </c>
      <c r="B137" t="s">
        <v>508</v>
      </c>
      <c r="C137" t="s">
        <v>2660</v>
      </c>
      <c r="D137" t="s">
        <v>2917</v>
      </c>
      <c r="E137" s="2">
        <v>46159</v>
      </c>
      <c r="F137" s="2"/>
      <c r="G137" t="s">
        <v>2638</v>
      </c>
    </row>
    <row r="138" spans="1:7">
      <c r="A138" t="s">
        <v>2918</v>
      </c>
      <c r="B138" t="s">
        <v>511</v>
      </c>
      <c r="C138" t="s">
        <v>2636</v>
      </c>
      <c r="D138" t="s">
        <v>2919</v>
      </c>
      <c r="E138" s="2">
        <v>46160</v>
      </c>
      <c r="F138" s="2"/>
      <c r="G138" t="s">
        <v>2638</v>
      </c>
    </row>
    <row r="139" spans="1:7">
      <c r="A139" t="s">
        <v>2920</v>
      </c>
      <c r="B139" t="s">
        <v>514</v>
      </c>
      <c r="C139" t="s">
        <v>2640</v>
      </c>
      <c r="D139" t="s">
        <v>2921</v>
      </c>
      <c r="E139" s="2">
        <v>46161</v>
      </c>
      <c r="F139" s="2">
        <v>46259</v>
      </c>
      <c r="G139" t="s">
        <v>2645</v>
      </c>
    </row>
    <row r="140" spans="1:7">
      <c r="A140" t="s">
        <v>2922</v>
      </c>
      <c r="B140" t="s">
        <v>517</v>
      </c>
      <c r="C140" t="s">
        <v>2643</v>
      </c>
      <c r="D140" t="s">
        <v>2923</v>
      </c>
      <c r="E140" s="2">
        <v>46162</v>
      </c>
      <c r="F140" s="2">
        <v>46261</v>
      </c>
      <c r="G140" t="s">
        <v>2649</v>
      </c>
    </row>
    <row r="141" spans="1:7">
      <c r="A141" t="s">
        <v>2924</v>
      </c>
      <c r="B141" t="s">
        <v>520</v>
      </c>
      <c r="C141" t="s">
        <v>2647</v>
      </c>
      <c r="D141" t="s">
        <v>2925</v>
      </c>
      <c r="E141" s="2">
        <v>46163</v>
      </c>
      <c r="F141" s="2"/>
      <c r="G141" t="s">
        <v>2638</v>
      </c>
    </row>
    <row r="142" spans="1:7">
      <c r="A142" t="s">
        <v>2926</v>
      </c>
      <c r="B142" t="s">
        <v>523</v>
      </c>
      <c r="C142" t="s">
        <v>2651</v>
      </c>
      <c r="D142" t="s">
        <v>2927</v>
      </c>
      <c r="E142" s="2">
        <v>46164</v>
      </c>
      <c r="F142" s="2"/>
      <c r="G142" t="s">
        <v>2638</v>
      </c>
    </row>
    <row r="143" spans="1:7">
      <c r="A143" t="s">
        <v>2928</v>
      </c>
      <c r="B143" t="s">
        <v>526</v>
      </c>
      <c r="C143" t="s">
        <v>2654</v>
      </c>
      <c r="D143" t="s">
        <v>2929</v>
      </c>
      <c r="E143" s="2">
        <v>46165</v>
      </c>
      <c r="F143" s="2"/>
      <c r="G143" t="s">
        <v>2638</v>
      </c>
    </row>
    <row r="144" spans="1:7">
      <c r="A144" t="s">
        <v>2930</v>
      </c>
      <c r="B144" t="s">
        <v>529</v>
      </c>
      <c r="C144" t="s">
        <v>2657</v>
      </c>
      <c r="D144" t="s">
        <v>2931</v>
      </c>
      <c r="E144" s="2">
        <v>46166</v>
      </c>
      <c r="F144" s="2">
        <v>46269</v>
      </c>
      <c r="G144" t="s">
        <v>2645</v>
      </c>
    </row>
    <row r="145" spans="1:7">
      <c r="A145" t="s">
        <v>2932</v>
      </c>
      <c r="B145" t="s">
        <v>532</v>
      </c>
      <c r="C145" t="s">
        <v>2660</v>
      </c>
      <c r="D145" t="s">
        <v>2933</v>
      </c>
      <c r="E145" s="2">
        <v>46167</v>
      </c>
      <c r="F145" s="2">
        <v>46271</v>
      </c>
      <c r="G145" t="s">
        <v>2649</v>
      </c>
    </row>
    <row r="146" spans="1:7">
      <c r="A146" t="s">
        <v>2934</v>
      </c>
      <c r="B146" t="s">
        <v>535</v>
      </c>
      <c r="C146" t="s">
        <v>2636</v>
      </c>
      <c r="D146" t="s">
        <v>2935</v>
      </c>
      <c r="E146" s="2">
        <v>46168</v>
      </c>
      <c r="F146" s="2"/>
      <c r="G146" t="s">
        <v>2638</v>
      </c>
    </row>
    <row r="147" spans="1:7">
      <c r="A147" t="s">
        <v>2936</v>
      </c>
      <c r="B147" t="s">
        <v>538</v>
      </c>
      <c r="C147" t="s">
        <v>2640</v>
      </c>
      <c r="D147" t="s">
        <v>2937</v>
      </c>
      <c r="E147" s="2">
        <v>46169</v>
      </c>
      <c r="F147" s="2"/>
      <c r="G147" t="s">
        <v>2638</v>
      </c>
    </row>
    <row r="148" spans="1:7">
      <c r="A148" t="s">
        <v>2938</v>
      </c>
      <c r="B148" t="s">
        <v>541</v>
      </c>
      <c r="C148" t="s">
        <v>2643</v>
      </c>
      <c r="D148" t="s">
        <v>2939</v>
      </c>
      <c r="E148" s="2">
        <v>46170</v>
      </c>
      <c r="F148" s="2"/>
      <c r="G148" t="s">
        <v>2638</v>
      </c>
    </row>
    <row r="149" spans="1:7">
      <c r="A149" t="s">
        <v>2940</v>
      </c>
      <c r="B149" t="s">
        <v>544</v>
      </c>
      <c r="C149" t="s">
        <v>2647</v>
      </c>
      <c r="D149" t="s">
        <v>2941</v>
      </c>
      <c r="E149" s="2">
        <v>46171</v>
      </c>
      <c r="F149" s="2">
        <v>46279</v>
      </c>
      <c r="G149" t="s">
        <v>2645</v>
      </c>
    </row>
    <row r="150" spans="1:7">
      <c r="A150" t="s">
        <v>2942</v>
      </c>
      <c r="B150" t="s">
        <v>547</v>
      </c>
      <c r="C150" t="s">
        <v>2651</v>
      </c>
      <c r="D150" t="s">
        <v>2943</v>
      </c>
      <c r="E150" s="2">
        <v>46172</v>
      </c>
      <c r="F150" s="2">
        <v>46281</v>
      </c>
      <c r="G150" t="s">
        <v>2649</v>
      </c>
    </row>
    <row r="151" spans="1:7">
      <c r="A151" t="s">
        <v>2944</v>
      </c>
      <c r="B151" t="s">
        <v>550</v>
      </c>
      <c r="C151" t="s">
        <v>2654</v>
      </c>
      <c r="D151" t="s">
        <v>2945</v>
      </c>
      <c r="E151" s="2">
        <v>46173</v>
      </c>
      <c r="F151" s="2"/>
      <c r="G151" t="s">
        <v>2638</v>
      </c>
    </row>
    <row r="152" spans="1:7">
      <c r="A152" t="s">
        <v>2946</v>
      </c>
      <c r="B152" t="s">
        <v>553</v>
      </c>
      <c r="C152" t="s">
        <v>2657</v>
      </c>
      <c r="D152" t="s">
        <v>2947</v>
      </c>
      <c r="E152" s="2">
        <v>46174</v>
      </c>
      <c r="F152" s="2"/>
      <c r="G152" t="s">
        <v>2638</v>
      </c>
    </row>
    <row r="153" spans="1:7">
      <c r="A153" t="s">
        <v>2948</v>
      </c>
      <c r="B153" t="s">
        <v>556</v>
      </c>
      <c r="C153" t="s">
        <v>2660</v>
      </c>
      <c r="D153" t="s">
        <v>2949</v>
      </c>
      <c r="E153" s="2">
        <v>46175</v>
      </c>
      <c r="F153" s="2"/>
      <c r="G153" t="s">
        <v>2638</v>
      </c>
    </row>
    <row r="154" spans="1:7">
      <c r="A154" t="s">
        <v>2950</v>
      </c>
      <c r="B154" t="s">
        <v>559</v>
      </c>
      <c r="C154" t="s">
        <v>2636</v>
      </c>
      <c r="D154" t="s">
        <v>2951</v>
      </c>
      <c r="E154" s="2">
        <v>46176</v>
      </c>
      <c r="F154" s="2">
        <v>46239</v>
      </c>
      <c r="G154" t="s">
        <v>2645</v>
      </c>
    </row>
    <row r="155" spans="1:7">
      <c r="A155" t="s">
        <v>2952</v>
      </c>
      <c r="B155" t="s">
        <v>562</v>
      </c>
      <c r="C155" t="s">
        <v>2640</v>
      </c>
      <c r="D155" t="s">
        <v>2953</v>
      </c>
      <c r="E155" s="2">
        <v>46177</v>
      </c>
      <c r="F155" s="2">
        <v>46241</v>
      </c>
      <c r="G155" t="s">
        <v>2649</v>
      </c>
    </row>
    <row r="156" spans="1:7">
      <c r="A156" t="s">
        <v>2954</v>
      </c>
      <c r="B156" t="s">
        <v>565</v>
      </c>
      <c r="C156" t="s">
        <v>2643</v>
      </c>
      <c r="D156" t="s">
        <v>2955</v>
      </c>
      <c r="E156" s="2">
        <v>46178</v>
      </c>
      <c r="F156" s="2"/>
      <c r="G156" t="s">
        <v>2638</v>
      </c>
    </row>
    <row r="157" spans="1:7">
      <c r="A157" t="s">
        <v>2956</v>
      </c>
      <c r="B157" t="s">
        <v>568</v>
      </c>
      <c r="C157" t="s">
        <v>2647</v>
      </c>
      <c r="D157" t="s">
        <v>2957</v>
      </c>
      <c r="E157" s="2">
        <v>46179</v>
      </c>
      <c r="F157" s="2"/>
      <c r="G157" t="s">
        <v>2638</v>
      </c>
    </row>
    <row r="158" spans="1:7">
      <c r="A158" t="s">
        <v>2958</v>
      </c>
      <c r="B158" t="s">
        <v>571</v>
      </c>
      <c r="C158" t="s">
        <v>2651</v>
      </c>
      <c r="D158" t="s">
        <v>2959</v>
      </c>
      <c r="E158" s="2">
        <v>46180</v>
      </c>
      <c r="F158" s="2"/>
      <c r="G158" t="s">
        <v>2638</v>
      </c>
    </row>
    <row r="159" spans="1:7">
      <c r="A159" t="s">
        <v>2960</v>
      </c>
      <c r="B159" t="s">
        <v>574</v>
      </c>
      <c r="C159" t="s">
        <v>2654</v>
      </c>
      <c r="D159" t="s">
        <v>2961</v>
      </c>
      <c r="E159" s="2">
        <v>46181</v>
      </c>
      <c r="F159" s="2">
        <v>46249</v>
      </c>
      <c r="G159" t="s">
        <v>2645</v>
      </c>
    </row>
    <row r="160" spans="1:7">
      <c r="A160" t="s">
        <v>2962</v>
      </c>
      <c r="B160" t="s">
        <v>577</v>
      </c>
      <c r="C160" t="s">
        <v>2657</v>
      </c>
      <c r="D160" t="s">
        <v>2963</v>
      </c>
      <c r="E160" s="2">
        <v>46182</v>
      </c>
      <c r="F160" s="2">
        <v>46251</v>
      </c>
      <c r="G160" t="s">
        <v>2649</v>
      </c>
    </row>
    <row r="161" spans="1:7">
      <c r="A161" t="s">
        <v>2964</v>
      </c>
      <c r="B161" t="s">
        <v>580</v>
      </c>
      <c r="C161" t="s">
        <v>2660</v>
      </c>
      <c r="D161" t="s">
        <v>2965</v>
      </c>
      <c r="E161" s="2">
        <v>46183</v>
      </c>
      <c r="F161" s="2"/>
      <c r="G161" t="s">
        <v>2638</v>
      </c>
    </row>
    <row r="162" spans="1:7">
      <c r="A162" t="s">
        <v>2966</v>
      </c>
      <c r="B162" t="s">
        <v>583</v>
      </c>
      <c r="C162" t="s">
        <v>2636</v>
      </c>
      <c r="D162" t="s">
        <v>2967</v>
      </c>
      <c r="E162" s="2">
        <v>46184</v>
      </c>
      <c r="F162" s="2"/>
      <c r="G162" t="s">
        <v>2638</v>
      </c>
    </row>
    <row r="163" spans="1:7">
      <c r="A163" t="s">
        <v>2968</v>
      </c>
      <c r="B163" t="s">
        <v>586</v>
      </c>
      <c r="C163" t="s">
        <v>2640</v>
      </c>
      <c r="D163" t="s">
        <v>2969</v>
      </c>
      <c r="E163" s="2">
        <v>46185</v>
      </c>
      <c r="F163" s="2"/>
      <c r="G163" t="s">
        <v>2638</v>
      </c>
    </row>
    <row r="164" spans="1:7">
      <c r="A164" t="s">
        <v>2970</v>
      </c>
      <c r="B164" t="s">
        <v>589</v>
      </c>
      <c r="C164" t="s">
        <v>2643</v>
      </c>
      <c r="D164" t="s">
        <v>2971</v>
      </c>
      <c r="E164" s="2">
        <v>46186</v>
      </c>
      <c r="F164" s="2">
        <v>46259</v>
      </c>
      <c r="G164" t="s">
        <v>2645</v>
      </c>
    </row>
    <row r="165" spans="1:7">
      <c r="A165" t="s">
        <v>2972</v>
      </c>
      <c r="B165" t="s">
        <v>592</v>
      </c>
      <c r="C165" t="s">
        <v>2647</v>
      </c>
      <c r="D165" t="s">
        <v>2973</v>
      </c>
      <c r="E165" s="2">
        <v>46187</v>
      </c>
      <c r="F165" s="2">
        <v>46261</v>
      </c>
      <c r="G165" t="s">
        <v>2649</v>
      </c>
    </row>
    <row r="166" spans="1:7">
      <c r="A166" t="s">
        <v>2974</v>
      </c>
      <c r="B166" t="s">
        <v>595</v>
      </c>
      <c r="C166" t="s">
        <v>2651</v>
      </c>
      <c r="D166" t="s">
        <v>2975</v>
      </c>
      <c r="E166" s="2">
        <v>46188</v>
      </c>
      <c r="F166" s="2"/>
      <c r="G166" t="s">
        <v>2638</v>
      </c>
    </row>
    <row r="167" spans="1:7">
      <c r="A167" t="s">
        <v>2976</v>
      </c>
      <c r="B167" t="s">
        <v>598</v>
      </c>
      <c r="C167" t="s">
        <v>2654</v>
      </c>
      <c r="D167" t="s">
        <v>2977</v>
      </c>
      <c r="E167" s="2">
        <v>46189</v>
      </c>
      <c r="F167" s="2"/>
      <c r="G167" t="s">
        <v>2638</v>
      </c>
    </row>
    <row r="168" spans="1:7">
      <c r="A168" t="s">
        <v>2978</v>
      </c>
      <c r="B168" t="s">
        <v>601</v>
      </c>
      <c r="C168" t="s">
        <v>2657</v>
      </c>
      <c r="D168" t="s">
        <v>2979</v>
      </c>
      <c r="E168" s="2">
        <v>46190</v>
      </c>
      <c r="F168" s="2"/>
      <c r="G168" t="s">
        <v>2638</v>
      </c>
    </row>
    <row r="169" spans="1:7">
      <c r="A169" t="s">
        <v>2980</v>
      </c>
      <c r="B169" t="s">
        <v>604</v>
      </c>
      <c r="C169" t="s">
        <v>2660</v>
      </c>
      <c r="D169" t="s">
        <v>2981</v>
      </c>
      <c r="E169" s="2">
        <v>46191</v>
      </c>
      <c r="F169" s="2">
        <v>46269</v>
      </c>
      <c r="G169" t="s">
        <v>2645</v>
      </c>
    </row>
    <row r="170" spans="1:7">
      <c r="A170" t="s">
        <v>2982</v>
      </c>
      <c r="B170" t="s">
        <v>607</v>
      </c>
      <c r="C170" t="s">
        <v>2636</v>
      </c>
      <c r="D170" t="s">
        <v>2983</v>
      </c>
      <c r="E170" s="2">
        <v>46192</v>
      </c>
      <c r="F170" s="2">
        <v>46271</v>
      </c>
      <c r="G170" t="s">
        <v>2649</v>
      </c>
    </row>
    <row r="171" spans="1:7">
      <c r="A171" t="s">
        <v>2984</v>
      </c>
      <c r="B171" t="s">
        <v>610</v>
      </c>
      <c r="C171" t="s">
        <v>2640</v>
      </c>
      <c r="D171" t="s">
        <v>2985</v>
      </c>
      <c r="E171" s="2">
        <v>46193</v>
      </c>
      <c r="F171" s="2"/>
      <c r="G171" t="s">
        <v>2638</v>
      </c>
    </row>
    <row r="172" spans="1:7">
      <c r="A172" t="s">
        <v>2986</v>
      </c>
      <c r="B172" t="s">
        <v>613</v>
      </c>
      <c r="C172" t="s">
        <v>2643</v>
      </c>
      <c r="D172" t="s">
        <v>2987</v>
      </c>
      <c r="E172" s="2">
        <v>46194</v>
      </c>
      <c r="F172" s="2"/>
      <c r="G172" t="s">
        <v>2638</v>
      </c>
    </row>
    <row r="173" spans="1:7">
      <c r="A173" t="s">
        <v>2988</v>
      </c>
      <c r="B173" t="s">
        <v>616</v>
      </c>
      <c r="C173" t="s">
        <v>2647</v>
      </c>
      <c r="D173" t="s">
        <v>2989</v>
      </c>
      <c r="E173" s="2">
        <v>46195</v>
      </c>
      <c r="F173" s="2"/>
      <c r="G173" t="s">
        <v>2638</v>
      </c>
    </row>
    <row r="174" spans="1:7">
      <c r="A174" t="s">
        <v>2990</v>
      </c>
      <c r="B174" t="s">
        <v>619</v>
      </c>
      <c r="C174" t="s">
        <v>2651</v>
      </c>
      <c r="D174" t="s">
        <v>2991</v>
      </c>
      <c r="E174" s="2">
        <v>46196</v>
      </c>
      <c r="F174" s="2">
        <v>46279</v>
      </c>
      <c r="G174" t="s">
        <v>2645</v>
      </c>
    </row>
    <row r="175" spans="1:7">
      <c r="A175" t="s">
        <v>2992</v>
      </c>
      <c r="B175" t="s">
        <v>622</v>
      </c>
      <c r="C175" t="s">
        <v>2654</v>
      </c>
      <c r="D175" t="s">
        <v>2993</v>
      </c>
      <c r="E175" s="2">
        <v>46197</v>
      </c>
      <c r="F175" s="2">
        <v>46281</v>
      </c>
      <c r="G175" t="s">
        <v>2649</v>
      </c>
    </row>
    <row r="176" spans="1:7">
      <c r="A176" t="s">
        <v>2994</v>
      </c>
      <c r="B176" t="s">
        <v>625</v>
      </c>
      <c r="C176" t="s">
        <v>2657</v>
      </c>
      <c r="D176" t="s">
        <v>2995</v>
      </c>
      <c r="E176" s="2">
        <v>46198</v>
      </c>
      <c r="F176" s="2"/>
      <c r="G176" t="s">
        <v>2638</v>
      </c>
    </row>
    <row r="177" spans="1:7">
      <c r="A177" t="s">
        <v>2996</v>
      </c>
      <c r="B177" t="s">
        <v>628</v>
      </c>
      <c r="C177" t="s">
        <v>2660</v>
      </c>
      <c r="D177" t="s">
        <v>2997</v>
      </c>
      <c r="E177" s="2">
        <v>46199</v>
      </c>
      <c r="F177" s="2"/>
      <c r="G177" t="s">
        <v>2638</v>
      </c>
    </row>
    <row r="178" spans="1:7">
      <c r="A178" t="s">
        <v>2998</v>
      </c>
      <c r="B178" t="s">
        <v>631</v>
      </c>
      <c r="C178" t="s">
        <v>2636</v>
      </c>
      <c r="D178" t="s">
        <v>2999</v>
      </c>
      <c r="E178" s="2">
        <v>46200</v>
      </c>
      <c r="F178" s="2"/>
      <c r="G178" t="s">
        <v>2638</v>
      </c>
    </row>
    <row r="179" spans="1:7">
      <c r="A179" t="s">
        <v>3000</v>
      </c>
      <c r="B179" t="s">
        <v>634</v>
      </c>
      <c r="C179" t="s">
        <v>2640</v>
      </c>
      <c r="D179" t="s">
        <v>3001</v>
      </c>
      <c r="E179" s="2">
        <v>46201</v>
      </c>
      <c r="F179" s="2">
        <v>46289</v>
      </c>
      <c r="G179" t="s">
        <v>2645</v>
      </c>
    </row>
    <row r="180" spans="1:7">
      <c r="A180" t="s">
        <v>3002</v>
      </c>
      <c r="B180" t="s">
        <v>637</v>
      </c>
      <c r="C180" t="s">
        <v>2643</v>
      </c>
      <c r="D180" t="s">
        <v>3003</v>
      </c>
      <c r="E180" s="2">
        <v>46202</v>
      </c>
      <c r="F180" s="2">
        <v>46291</v>
      </c>
      <c r="G180" t="s">
        <v>2649</v>
      </c>
    </row>
    <row r="181" spans="1:7">
      <c r="A181" t="s">
        <v>3004</v>
      </c>
      <c r="B181" t="s">
        <v>640</v>
      </c>
      <c r="C181" t="s">
        <v>2647</v>
      </c>
      <c r="D181" t="s">
        <v>3005</v>
      </c>
      <c r="E181" s="2">
        <v>46023</v>
      </c>
      <c r="F181" s="2"/>
      <c r="G181" t="s">
        <v>2638</v>
      </c>
    </row>
    <row r="182" spans="1:7">
      <c r="A182" t="s">
        <v>3006</v>
      </c>
      <c r="B182" t="s">
        <v>643</v>
      </c>
      <c r="C182" t="s">
        <v>2651</v>
      </c>
      <c r="D182" t="s">
        <v>3007</v>
      </c>
      <c r="E182" s="2">
        <v>46024</v>
      </c>
      <c r="F182" s="2"/>
      <c r="G182" t="s">
        <v>2638</v>
      </c>
    </row>
    <row r="183" spans="1:7">
      <c r="A183" t="s">
        <v>3008</v>
      </c>
      <c r="B183" t="s">
        <v>646</v>
      </c>
      <c r="C183" t="s">
        <v>2654</v>
      </c>
      <c r="D183" t="s">
        <v>3009</v>
      </c>
      <c r="E183" s="2">
        <v>46025</v>
      </c>
      <c r="F183" s="2"/>
      <c r="G183" t="s">
        <v>2638</v>
      </c>
    </row>
    <row r="184" spans="1:7">
      <c r="A184" t="s">
        <v>3010</v>
      </c>
      <c r="B184" t="s">
        <v>649</v>
      </c>
      <c r="C184" t="s">
        <v>2657</v>
      </c>
      <c r="D184" t="s">
        <v>3011</v>
      </c>
      <c r="E184" s="2">
        <v>46026</v>
      </c>
      <c r="F184" s="2">
        <v>46119</v>
      </c>
      <c r="G184" t="s">
        <v>2645</v>
      </c>
    </row>
    <row r="185" spans="1:7">
      <c r="A185" t="s">
        <v>3012</v>
      </c>
      <c r="B185" t="s">
        <v>652</v>
      </c>
      <c r="C185" t="s">
        <v>2660</v>
      </c>
      <c r="D185" t="s">
        <v>3013</v>
      </c>
      <c r="E185" s="2">
        <v>46027</v>
      </c>
      <c r="F185" s="2">
        <v>46121</v>
      </c>
      <c r="G185" t="s">
        <v>2649</v>
      </c>
    </row>
    <row r="186" spans="1:7">
      <c r="A186" t="s">
        <v>3014</v>
      </c>
      <c r="B186" t="s">
        <v>655</v>
      </c>
      <c r="C186" t="s">
        <v>2636</v>
      </c>
      <c r="D186" t="s">
        <v>3015</v>
      </c>
      <c r="E186" s="2">
        <v>46028</v>
      </c>
      <c r="F186" s="2"/>
      <c r="G186" t="s">
        <v>2638</v>
      </c>
    </row>
    <row r="187" spans="1:7">
      <c r="A187" t="s">
        <v>3016</v>
      </c>
      <c r="B187" t="s">
        <v>658</v>
      </c>
      <c r="C187" t="s">
        <v>2640</v>
      </c>
      <c r="D187" t="s">
        <v>3017</v>
      </c>
      <c r="E187" s="2">
        <v>46029</v>
      </c>
      <c r="F187" s="2"/>
      <c r="G187" t="s">
        <v>2638</v>
      </c>
    </row>
    <row r="188" spans="1:7">
      <c r="A188" t="s">
        <v>3018</v>
      </c>
      <c r="B188" t="s">
        <v>661</v>
      </c>
      <c r="C188" t="s">
        <v>2643</v>
      </c>
      <c r="D188" t="s">
        <v>3019</v>
      </c>
      <c r="E188" s="2">
        <v>46030</v>
      </c>
      <c r="F188" s="2"/>
      <c r="G188" t="s">
        <v>2638</v>
      </c>
    </row>
    <row r="189" spans="1:7">
      <c r="A189" t="s">
        <v>3020</v>
      </c>
      <c r="B189" t="s">
        <v>664</v>
      </c>
      <c r="C189" t="s">
        <v>2647</v>
      </c>
      <c r="D189" t="s">
        <v>3021</v>
      </c>
      <c r="E189" s="2">
        <v>46031</v>
      </c>
      <c r="F189" s="2">
        <v>46129</v>
      </c>
      <c r="G189" t="s">
        <v>2645</v>
      </c>
    </row>
    <row r="190" spans="1:7">
      <c r="A190" t="s">
        <v>3022</v>
      </c>
      <c r="B190" t="s">
        <v>667</v>
      </c>
      <c r="C190" t="s">
        <v>2651</v>
      </c>
      <c r="D190" t="s">
        <v>3023</v>
      </c>
      <c r="E190" s="2">
        <v>46032</v>
      </c>
      <c r="F190" s="2">
        <v>46131</v>
      </c>
      <c r="G190" t="s">
        <v>2649</v>
      </c>
    </row>
    <row r="191" spans="1:7">
      <c r="A191" t="s">
        <v>3024</v>
      </c>
      <c r="B191" t="s">
        <v>670</v>
      </c>
      <c r="C191" t="s">
        <v>2654</v>
      </c>
      <c r="D191" t="s">
        <v>3025</v>
      </c>
      <c r="E191" s="2">
        <v>46033</v>
      </c>
      <c r="F191" s="2"/>
      <c r="G191" t="s">
        <v>2638</v>
      </c>
    </row>
    <row r="192" spans="1:7">
      <c r="A192" t="s">
        <v>3026</v>
      </c>
      <c r="B192" t="s">
        <v>673</v>
      </c>
      <c r="C192" t="s">
        <v>2657</v>
      </c>
      <c r="D192" t="s">
        <v>3027</v>
      </c>
      <c r="E192" s="2">
        <v>46034</v>
      </c>
      <c r="F192" s="2"/>
      <c r="G192" t="s">
        <v>2638</v>
      </c>
    </row>
    <row r="193" spans="1:7">
      <c r="A193" t="s">
        <v>3028</v>
      </c>
      <c r="B193" t="s">
        <v>676</v>
      </c>
      <c r="C193" t="s">
        <v>2660</v>
      </c>
      <c r="D193" t="s">
        <v>3029</v>
      </c>
      <c r="E193" s="2">
        <v>46035</v>
      </c>
      <c r="F193" s="2"/>
      <c r="G193" t="s">
        <v>2638</v>
      </c>
    </row>
    <row r="194" spans="1:7">
      <c r="A194" t="s">
        <v>3030</v>
      </c>
      <c r="B194" t="s">
        <v>679</v>
      </c>
      <c r="C194" t="s">
        <v>2636</v>
      </c>
      <c r="D194" t="s">
        <v>3031</v>
      </c>
      <c r="E194" s="2">
        <v>46036</v>
      </c>
      <c r="F194" s="2">
        <v>46139</v>
      </c>
      <c r="G194" t="s">
        <v>2645</v>
      </c>
    </row>
    <row r="195" spans="1:7">
      <c r="A195" t="s">
        <v>3032</v>
      </c>
      <c r="B195" t="s">
        <v>682</v>
      </c>
      <c r="C195" t="s">
        <v>2640</v>
      </c>
      <c r="D195" t="s">
        <v>3033</v>
      </c>
      <c r="E195" s="2">
        <v>46037</v>
      </c>
      <c r="F195" s="2">
        <v>46141</v>
      </c>
      <c r="G195" t="s">
        <v>2649</v>
      </c>
    </row>
    <row r="196" spans="1:7">
      <c r="A196" t="s">
        <v>3034</v>
      </c>
      <c r="B196" t="s">
        <v>685</v>
      </c>
      <c r="C196" t="s">
        <v>2643</v>
      </c>
      <c r="D196" t="s">
        <v>3035</v>
      </c>
      <c r="E196" s="2">
        <v>46038</v>
      </c>
      <c r="F196" s="2"/>
      <c r="G196" t="s">
        <v>2638</v>
      </c>
    </row>
    <row r="197" spans="1:7">
      <c r="A197" t="s">
        <v>3036</v>
      </c>
      <c r="B197" t="s">
        <v>688</v>
      </c>
      <c r="C197" t="s">
        <v>2647</v>
      </c>
      <c r="D197" t="s">
        <v>3037</v>
      </c>
      <c r="E197" s="2">
        <v>46039</v>
      </c>
      <c r="F197" s="2"/>
      <c r="G197" t="s">
        <v>2638</v>
      </c>
    </row>
    <row r="198" spans="1:7">
      <c r="A198" t="s">
        <v>3038</v>
      </c>
      <c r="B198" t="s">
        <v>691</v>
      </c>
      <c r="C198" t="s">
        <v>2651</v>
      </c>
      <c r="D198" t="s">
        <v>3039</v>
      </c>
      <c r="E198" s="2">
        <v>46040</v>
      </c>
      <c r="F198" s="2"/>
      <c r="G198" t="s">
        <v>2638</v>
      </c>
    </row>
    <row r="199" spans="1:7">
      <c r="A199" t="s">
        <v>3040</v>
      </c>
      <c r="B199" t="s">
        <v>694</v>
      </c>
      <c r="C199" t="s">
        <v>2654</v>
      </c>
      <c r="D199" t="s">
        <v>3041</v>
      </c>
      <c r="E199" s="2">
        <v>46041</v>
      </c>
      <c r="F199" s="2">
        <v>46149</v>
      </c>
      <c r="G199" t="s">
        <v>2645</v>
      </c>
    </row>
    <row r="200" spans="1:7">
      <c r="A200" t="s">
        <v>3042</v>
      </c>
      <c r="B200" t="s">
        <v>697</v>
      </c>
      <c r="C200" t="s">
        <v>2657</v>
      </c>
      <c r="D200" t="s">
        <v>3043</v>
      </c>
      <c r="E200" s="2">
        <v>46042</v>
      </c>
      <c r="F200" s="2">
        <v>46151</v>
      </c>
      <c r="G200" t="s">
        <v>2649</v>
      </c>
    </row>
    <row r="201" spans="1:7">
      <c r="A201" t="s">
        <v>3044</v>
      </c>
      <c r="B201" t="s">
        <v>700</v>
      </c>
      <c r="C201" t="s">
        <v>2660</v>
      </c>
      <c r="D201" t="s">
        <v>3045</v>
      </c>
      <c r="E201" s="2">
        <v>46043</v>
      </c>
      <c r="F201" s="2"/>
      <c r="G201" t="s">
        <v>2638</v>
      </c>
    </row>
    <row r="202" spans="1:7">
      <c r="A202" t="s">
        <v>3046</v>
      </c>
      <c r="B202" t="s">
        <v>703</v>
      </c>
      <c r="C202" t="s">
        <v>2636</v>
      </c>
      <c r="D202" t="s">
        <v>3047</v>
      </c>
      <c r="E202" s="2">
        <v>46044</v>
      </c>
      <c r="F202" s="2"/>
      <c r="G202" t="s">
        <v>2638</v>
      </c>
    </row>
    <row r="203" spans="1:7">
      <c r="A203" t="s">
        <v>3048</v>
      </c>
      <c r="B203" t="s">
        <v>706</v>
      </c>
      <c r="C203" t="s">
        <v>2640</v>
      </c>
      <c r="D203" t="s">
        <v>3049</v>
      </c>
      <c r="E203" s="2">
        <v>46045</v>
      </c>
      <c r="F203" s="2"/>
      <c r="G203" t="s">
        <v>2638</v>
      </c>
    </row>
    <row r="204" spans="1:7">
      <c r="A204" t="s">
        <v>3050</v>
      </c>
      <c r="B204" t="s">
        <v>709</v>
      </c>
      <c r="C204" t="s">
        <v>2643</v>
      </c>
      <c r="D204" t="s">
        <v>3051</v>
      </c>
      <c r="E204" s="2">
        <v>46046</v>
      </c>
      <c r="F204" s="2">
        <v>46109</v>
      </c>
      <c r="G204" t="s">
        <v>2645</v>
      </c>
    </row>
    <row r="205" spans="1:7">
      <c r="A205" t="s">
        <v>3052</v>
      </c>
      <c r="B205" t="s">
        <v>712</v>
      </c>
      <c r="C205" t="s">
        <v>2647</v>
      </c>
      <c r="D205" t="s">
        <v>3053</v>
      </c>
      <c r="E205" s="2">
        <v>46047</v>
      </c>
      <c r="F205" s="2">
        <v>46111</v>
      </c>
      <c r="G205" t="s">
        <v>2649</v>
      </c>
    </row>
    <row r="206" spans="1:7">
      <c r="A206" t="s">
        <v>3054</v>
      </c>
      <c r="B206" t="s">
        <v>715</v>
      </c>
      <c r="C206" t="s">
        <v>2651</v>
      </c>
      <c r="D206" t="s">
        <v>3055</v>
      </c>
      <c r="E206" s="2">
        <v>46048</v>
      </c>
      <c r="F206" s="2"/>
      <c r="G206" t="s">
        <v>2638</v>
      </c>
    </row>
    <row r="207" spans="1:7">
      <c r="A207" t="s">
        <v>3056</v>
      </c>
      <c r="B207" t="s">
        <v>718</v>
      </c>
      <c r="C207" t="s">
        <v>2654</v>
      </c>
      <c r="D207" t="s">
        <v>3057</v>
      </c>
      <c r="E207" s="2">
        <v>46049</v>
      </c>
      <c r="F207" s="2"/>
      <c r="G207" t="s">
        <v>2638</v>
      </c>
    </row>
    <row r="208" spans="1:7">
      <c r="A208" t="s">
        <v>3058</v>
      </c>
      <c r="B208" t="s">
        <v>721</v>
      </c>
      <c r="C208" t="s">
        <v>2657</v>
      </c>
      <c r="D208" t="s">
        <v>3059</v>
      </c>
      <c r="E208" s="2">
        <v>46050</v>
      </c>
      <c r="F208" s="2"/>
      <c r="G208" t="s">
        <v>2638</v>
      </c>
    </row>
    <row r="209" spans="1:7">
      <c r="A209" t="s">
        <v>3060</v>
      </c>
      <c r="B209" t="s">
        <v>724</v>
      </c>
      <c r="C209" t="s">
        <v>2660</v>
      </c>
      <c r="D209" t="s">
        <v>3061</v>
      </c>
      <c r="E209" s="2">
        <v>46051</v>
      </c>
      <c r="F209" s="2">
        <v>46119</v>
      </c>
      <c r="G209" t="s">
        <v>2645</v>
      </c>
    </row>
    <row r="210" spans="1:7">
      <c r="A210" t="s">
        <v>3062</v>
      </c>
      <c r="B210" t="s">
        <v>727</v>
      </c>
      <c r="C210" t="s">
        <v>2636</v>
      </c>
      <c r="D210" t="s">
        <v>3063</v>
      </c>
      <c r="E210" s="2">
        <v>46052</v>
      </c>
      <c r="F210" s="2">
        <v>46121</v>
      </c>
      <c r="G210" t="s">
        <v>2649</v>
      </c>
    </row>
    <row r="211" spans="1:7">
      <c r="A211" t="s">
        <v>3064</v>
      </c>
      <c r="B211" t="s">
        <v>730</v>
      </c>
      <c r="C211" t="s">
        <v>2640</v>
      </c>
      <c r="D211" t="s">
        <v>3065</v>
      </c>
      <c r="E211" s="2">
        <v>46053</v>
      </c>
      <c r="F211" s="2"/>
      <c r="G211" t="s">
        <v>2638</v>
      </c>
    </row>
    <row r="212" spans="1:7">
      <c r="A212" t="s">
        <v>3066</v>
      </c>
      <c r="B212" t="s">
        <v>733</v>
      </c>
      <c r="C212" t="s">
        <v>2643</v>
      </c>
      <c r="D212" t="s">
        <v>3067</v>
      </c>
      <c r="E212" s="2">
        <v>46054</v>
      </c>
      <c r="F212" s="2"/>
      <c r="G212" t="s">
        <v>2638</v>
      </c>
    </row>
    <row r="213" spans="1:7">
      <c r="A213" t="s">
        <v>3068</v>
      </c>
      <c r="B213" t="s">
        <v>736</v>
      </c>
      <c r="C213" t="s">
        <v>2647</v>
      </c>
      <c r="D213" t="s">
        <v>3069</v>
      </c>
      <c r="E213" s="2">
        <v>46055</v>
      </c>
      <c r="F213" s="2"/>
      <c r="G213" t="s">
        <v>2638</v>
      </c>
    </row>
    <row r="214" spans="1:7">
      <c r="A214" t="s">
        <v>3070</v>
      </c>
      <c r="B214" t="s">
        <v>739</v>
      </c>
      <c r="C214" t="s">
        <v>2651</v>
      </c>
      <c r="D214" t="s">
        <v>3071</v>
      </c>
      <c r="E214" s="2">
        <v>46056</v>
      </c>
      <c r="F214" s="2">
        <v>46129</v>
      </c>
      <c r="G214" t="s">
        <v>2645</v>
      </c>
    </row>
    <row r="215" spans="1:7">
      <c r="A215" t="s">
        <v>3072</v>
      </c>
      <c r="B215" t="s">
        <v>742</v>
      </c>
      <c r="C215" t="s">
        <v>2654</v>
      </c>
      <c r="D215" t="s">
        <v>3073</v>
      </c>
      <c r="E215" s="2">
        <v>46057</v>
      </c>
      <c r="F215" s="2">
        <v>46131</v>
      </c>
      <c r="G215" t="s">
        <v>2649</v>
      </c>
    </row>
    <row r="216" spans="1:7">
      <c r="A216" t="s">
        <v>3074</v>
      </c>
      <c r="B216" t="s">
        <v>745</v>
      </c>
      <c r="C216" t="s">
        <v>2657</v>
      </c>
      <c r="D216" t="s">
        <v>3075</v>
      </c>
      <c r="E216" s="2">
        <v>46058</v>
      </c>
      <c r="F216" s="2"/>
      <c r="G216" t="s">
        <v>2638</v>
      </c>
    </row>
    <row r="217" spans="1:7">
      <c r="A217" t="s">
        <v>3076</v>
      </c>
      <c r="B217" t="s">
        <v>748</v>
      </c>
      <c r="C217" t="s">
        <v>2660</v>
      </c>
      <c r="D217" t="s">
        <v>3077</v>
      </c>
      <c r="E217" s="2">
        <v>46059</v>
      </c>
      <c r="F217" s="2"/>
      <c r="G217" t="s">
        <v>2638</v>
      </c>
    </row>
    <row r="218" spans="1:7">
      <c r="A218" t="s">
        <v>3078</v>
      </c>
      <c r="B218" t="s">
        <v>751</v>
      </c>
      <c r="C218" t="s">
        <v>2636</v>
      </c>
      <c r="D218" t="s">
        <v>3079</v>
      </c>
      <c r="E218" s="2">
        <v>46060</v>
      </c>
      <c r="F218" s="2"/>
      <c r="G218" t="s">
        <v>2638</v>
      </c>
    </row>
    <row r="219" spans="1:7">
      <c r="A219" t="s">
        <v>3080</v>
      </c>
      <c r="B219" t="s">
        <v>754</v>
      </c>
      <c r="C219" t="s">
        <v>2640</v>
      </c>
      <c r="D219" t="s">
        <v>3081</v>
      </c>
      <c r="E219" s="2">
        <v>46061</v>
      </c>
      <c r="F219" s="2">
        <v>46139</v>
      </c>
      <c r="G219" t="s">
        <v>2645</v>
      </c>
    </row>
    <row r="220" spans="1:7">
      <c r="A220" t="s">
        <v>3082</v>
      </c>
      <c r="B220" t="s">
        <v>757</v>
      </c>
      <c r="C220" t="s">
        <v>2643</v>
      </c>
      <c r="D220" t="s">
        <v>3083</v>
      </c>
      <c r="E220" s="2">
        <v>46062</v>
      </c>
      <c r="F220" s="2">
        <v>46141</v>
      </c>
      <c r="G220" t="s">
        <v>2649</v>
      </c>
    </row>
    <row r="221" spans="1:7">
      <c r="A221" t="s">
        <v>3084</v>
      </c>
      <c r="B221" t="s">
        <v>760</v>
      </c>
      <c r="C221" t="s">
        <v>2647</v>
      </c>
      <c r="D221" t="s">
        <v>3085</v>
      </c>
      <c r="E221" s="2">
        <v>46063</v>
      </c>
      <c r="F221" s="2"/>
      <c r="G221" t="s">
        <v>2638</v>
      </c>
    </row>
    <row r="222" spans="1:7">
      <c r="A222" t="s">
        <v>3086</v>
      </c>
      <c r="B222" t="s">
        <v>763</v>
      </c>
      <c r="C222" t="s">
        <v>2651</v>
      </c>
      <c r="D222" t="s">
        <v>3087</v>
      </c>
      <c r="E222" s="2">
        <v>46064</v>
      </c>
      <c r="F222" s="2"/>
      <c r="G222" t="s">
        <v>2638</v>
      </c>
    </row>
    <row r="223" spans="1:7">
      <c r="A223" t="s">
        <v>3088</v>
      </c>
      <c r="B223" t="s">
        <v>766</v>
      </c>
      <c r="C223" t="s">
        <v>2654</v>
      </c>
      <c r="D223" t="s">
        <v>3089</v>
      </c>
      <c r="E223" s="2">
        <v>46065</v>
      </c>
      <c r="F223" s="2"/>
      <c r="G223" t="s">
        <v>2638</v>
      </c>
    </row>
    <row r="224" spans="1:7">
      <c r="A224" t="s">
        <v>3090</v>
      </c>
      <c r="B224" t="s">
        <v>769</v>
      </c>
      <c r="C224" t="s">
        <v>2657</v>
      </c>
      <c r="D224" t="s">
        <v>3091</v>
      </c>
      <c r="E224" s="2">
        <v>46066</v>
      </c>
      <c r="F224" s="2">
        <v>46149</v>
      </c>
      <c r="G224" t="s">
        <v>2645</v>
      </c>
    </row>
    <row r="225" spans="1:7">
      <c r="A225" t="s">
        <v>3092</v>
      </c>
      <c r="B225" t="s">
        <v>772</v>
      </c>
      <c r="C225" t="s">
        <v>2660</v>
      </c>
      <c r="D225" t="s">
        <v>3093</v>
      </c>
      <c r="E225" s="2">
        <v>46067</v>
      </c>
      <c r="F225" s="2">
        <v>46151</v>
      </c>
      <c r="G225" t="s">
        <v>2649</v>
      </c>
    </row>
    <row r="226" spans="1:7">
      <c r="A226" t="s">
        <v>3094</v>
      </c>
      <c r="B226" t="s">
        <v>775</v>
      </c>
      <c r="C226" t="s">
        <v>2636</v>
      </c>
      <c r="D226" t="s">
        <v>3095</v>
      </c>
      <c r="E226" s="2">
        <v>46068</v>
      </c>
      <c r="F226" s="2"/>
      <c r="G226" t="s">
        <v>2638</v>
      </c>
    </row>
    <row r="227" spans="1:7">
      <c r="A227" t="s">
        <v>3096</v>
      </c>
      <c r="B227" t="s">
        <v>778</v>
      </c>
      <c r="C227" t="s">
        <v>2640</v>
      </c>
      <c r="D227" t="s">
        <v>3097</v>
      </c>
      <c r="E227" s="2">
        <v>46069</v>
      </c>
      <c r="F227" s="2"/>
      <c r="G227" t="s">
        <v>2638</v>
      </c>
    </row>
    <row r="228" spans="1:7">
      <c r="A228" t="s">
        <v>3098</v>
      </c>
      <c r="B228" t="s">
        <v>781</v>
      </c>
      <c r="C228" t="s">
        <v>2643</v>
      </c>
      <c r="D228" t="s">
        <v>3099</v>
      </c>
      <c r="E228" s="2">
        <v>46070</v>
      </c>
      <c r="F228" s="2"/>
      <c r="G228" t="s">
        <v>2638</v>
      </c>
    </row>
    <row r="229" spans="1:7">
      <c r="A229" t="s">
        <v>3100</v>
      </c>
      <c r="B229" t="s">
        <v>784</v>
      </c>
      <c r="C229" t="s">
        <v>2647</v>
      </c>
      <c r="D229" t="s">
        <v>3101</v>
      </c>
      <c r="E229" s="2">
        <v>46071</v>
      </c>
      <c r="F229" s="2">
        <v>46159</v>
      </c>
      <c r="G229" t="s">
        <v>2645</v>
      </c>
    </row>
    <row r="230" spans="1:7">
      <c r="A230" t="s">
        <v>3102</v>
      </c>
      <c r="B230" t="s">
        <v>787</v>
      </c>
      <c r="C230" t="s">
        <v>2651</v>
      </c>
      <c r="D230" t="s">
        <v>3103</v>
      </c>
      <c r="E230" s="2">
        <v>46072</v>
      </c>
      <c r="F230" s="2">
        <v>46161</v>
      </c>
      <c r="G230" t="s">
        <v>2649</v>
      </c>
    </row>
    <row r="231" spans="1:7">
      <c r="A231" t="s">
        <v>3104</v>
      </c>
      <c r="B231" t="s">
        <v>790</v>
      </c>
      <c r="C231" t="s">
        <v>2654</v>
      </c>
      <c r="D231" t="s">
        <v>3105</v>
      </c>
      <c r="E231" s="2">
        <v>46073</v>
      </c>
      <c r="F231" s="2"/>
      <c r="G231" t="s">
        <v>2638</v>
      </c>
    </row>
    <row r="232" spans="1:7">
      <c r="A232" t="s">
        <v>3106</v>
      </c>
      <c r="B232" t="s">
        <v>793</v>
      </c>
      <c r="C232" t="s">
        <v>2657</v>
      </c>
      <c r="D232" t="s">
        <v>3107</v>
      </c>
      <c r="E232" s="2">
        <v>46074</v>
      </c>
      <c r="F232" s="2"/>
      <c r="G232" t="s">
        <v>2638</v>
      </c>
    </row>
    <row r="233" spans="1:7">
      <c r="A233" t="s">
        <v>3108</v>
      </c>
      <c r="B233" t="s">
        <v>796</v>
      </c>
      <c r="C233" t="s">
        <v>2660</v>
      </c>
      <c r="D233" t="s">
        <v>3109</v>
      </c>
      <c r="E233" s="2">
        <v>46075</v>
      </c>
      <c r="F233" s="2"/>
      <c r="G233" t="s">
        <v>2638</v>
      </c>
    </row>
    <row r="234" spans="1:7">
      <c r="A234" t="s">
        <v>3110</v>
      </c>
      <c r="B234" t="s">
        <v>799</v>
      </c>
      <c r="C234" t="s">
        <v>2636</v>
      </c>
      <c r="D234" t="s">
        <v>3111</v>
      </c>
      <c r="E234" s="2">
        <v>46076</v>
      </c>
      <c r="F234" s="2">
        <v>46169</v>
      </c>
      <c r="G234" t="s">
        <v>2645</v>
      </c>
    </row>
    <row r="235" spans="1:7">
      <c r="A235" t="s">
        <v>3112</v>
      </c>
      <c r="B235" t="s">
        <v>802</v>
      </c>
      <c r="C235" t="s">
        <v>2640</v>
      </c>
      <c r="D235" t="s">
        <v>3113</v>
      </c>
      <c r="E235" s="2">
        <v>46077</v>
      </c>
      <c r="F235" s="2">
        <v>46171</v>
      </c>
      <c r="G235" t="s">
        <v>2649</v>
      </c>
    </row>
    <row r="236" spans="1:7">
      <c r="A236" t="s">
        <v>3114</v>
      </c>
      <c r="B236" t="s">
        <v>805</v>
      </c>
      <c r="C236" t="s">
        <v>2643</v>
      </c>
      <c r="D236" t="s">
        <v>3115</v>
      </c>
      <c r="E236" s="2">
        <v>46078</v>
      </c>
      <c r="F236" s="2"/>
      <c r="G236" t="s">
        <v>2638</v>
      </c>
    </row>
    <row r="237" spans="1:7">
      <c r="A237" t="s">
        <v>3116</v>
      </c>
      <c r="B237" t="s">
        <v>808</v>
      </c>
      <c r="C237" t="s">
        <v>2647</v>
      </c>
      <c r="D237" t="s">
        <v>3117</v>
      </c>
      <c r="E237" s="2">
        <v>46079</v>
      </c>
      <c r="F237" s="2"/>
      <c r="G237" t="s">
        <v>2638</v>
      </c>
    </row>
    <row r="238" spans="1:7">
      <c r="A238" t="s">
        <v>3118</v>
      </c>
      <c r="B238" t="s">
        <v>811</v>
      </c>
      <c r="C238" t="s">
        <v>2651</v>
      </c>
      <c r="D238" t="s">
        <v>3119</v>
      </c>
      <c r="E238" s="2">
        <v>46080</v>
      </c>
      <c r="F238" s="2"/>
      <c r="G238" t="s">
        <v>2638</v>
      </c>
    </row>
    <row r="239" spans="1:7">
      <c r="A239" t="s">
        <v>3120</v>
      </c>
      <c r="B239" t="s">
        <v>814</v>
      </c>
      <c r="C239" t="s">
        <v>2654</v>
      </c>
      <c r="D239" t="s">
        <v>3121</v>
      </c>
      <c r="E239" s="2">
        <v>46081</v>
      </c>
      <c r="F239" s="2">
        <v>46179</v>
      </c>
      <c r="G239" t="s">
        <v>2645</v>
      </c>
    </row>
    <row r="240" spans="1:7">
      <c r="A240" t="s">
        <v>3122</v>
      </c>
      <c r="B240" t="s">
        <v>817</v>
      </c>
      <c r="C240" t="s">
        <v>2657</v>
      </c>
      <c r="D240" t="s">
        <v>3123</v>
      </c>
      <c r="E240" s="2">
        <v>46082</v>
      </c>
      <c r="F240" s="2">
        <v>46181</v>
      </c>
      <c r="G240" t="s">
        <v>2649</v>
      </c>
    </row>
    <row r="241" spans="1:7">
      <c r="A241" t="s">
        <v>3124</v>
      </c>
      <c r="B241" t="s">
        <v>820</v>
      </c>
      <c r="C241" t="s">
        <v>2660</v>
      </c>
      <c r="D241" t="s">
        <v>3125</v>
      </c>
      <c r="E241" s="2">
        <v>46083</v>
      </c>
      <c r="F241" s="2"/>
      <c r="G241" t="s">
        <v>2638</v>
      </c>
    </row>
    <row r="242" spans="1:7">
      <c r="A242" t="s">
        <v>3126</v>
      </c>
      <c r="B242" t="s">
        <v>823</v>
      </c>
      <c r="C242" t="s">
        <v>2636</v>
      </c>
      <c r="D242" t="s">
        <v>3127</v>
      </c>
      <c r="E242" s="2">
        <v>46084</v>
      </c>
      <c r="F242" s="2"/>
      <c r="G242" t="s">
        <v>2638</v>
      </c>
    </row>
    <row r="243" spans="1:7">
      <c r="A243" t="s">
        <v>3128</v>
      </c>
      <c r="B243" t="s">
        <v>826</v>
      </c>
      <c r="C243" t="s">
        <v>2640</v>
      </c>
      <c r="D243" t="s">
        <v>3129</v>
      </c>
      <c r="E243" s="2">
        <v>46085</v>
      </c>
      <c r="F243" s="2"/>
      <c r="G243" t="s">
        <v>2638</v>
      </c>
    </row>
    <row r="244" spans="1:7">
      <c r="A244" t="s">
        <v>3130</v>
      </c>
      <c r="B244" t="s">
        <v>829</v>
      </c>
      <c r="C244" t="s">
        <v>2643</v>
      </c>
      <c r="D244" t="s">
        <v>3131</v>
      </c>
      <c r="E244" s="2">
        <v>46086</v>
      </c>
      <c r="F244" s="2">
        <v>46189</v>
      </c>
      <c r="G244" t="s">
        <v>2645</v>
      </c>
    </row>
    <row r="245" spans="1:7">
      <c r="A245" t="s">
        <v>3132</v>
      </c>
      <c r="B245" t="s">
        <v>832</v>
      </c>
      <c r="C245" t="s">
        <v>2647</v>
      </c>
      <c r="D245" t="s">
        <v>3133</v>
      </c>
      <c r="E245" s="2">
        <v>46087</v>
      </c>
      <c r="F245" s="2">
        <v>46191</v>
      </c>
      <c r="G245" t="s">
        <v>2649</v>
      </c>
    </row>
    <row r="246" spans="1:7">
      <c r="A246" t="s">
        <v>3134</v>
      </c>
      <c r="B246" t="s">
        <v>835</v>
      </c>
      <c r="C246" t="s">
        <v>2651</v>
      </c>
      <c r="D246" t="s">
        <v>3135</v>
      </c>
      <c r="E246" s="2">
        <v>46088</v>
      </c>
      <c r="F246" s="2"/>
      <c r="G246" t="s">
        <v>2638</v>
      </c>
    </row>
    <row r="247" spans="1:7">
      <c r="A247" t="s">
        <v>3136</v>
      </c>
      <c r="B247" t="s">
        <v>838</v>
      </c>
      <c r="C247" t="s">
        <v>2654</v>
      </c>
      <c r="D247" t="s">
        <v>3137</v>
      </c>
      <c r="E247" s="2">
        <v>46089</v>
      </c>
      <c r="F247" s="2"/>
      <c r="G247" t="s">
        <v>2638</v>
      </c>
    </row>
    <row r="248" spans="1:7">
      <c r="A248" t="s">
        <v>3138</v>
      </c>
      <c r="B248" t="s">
        <v>841</v>
      </c>
      <c r="C248" t="s">
        <v>2657</v>
      </c>
      <c r="D248" t="s">
        <v>3139</v>
      </c>
      <c r="E248" s="2">
        <v>46090</v>
      </c>
      <c r="F248" s="2"/>
      <c r="G248" t="s">
        <v>2638</v>
      </c>
    </row>
    <row r="249" spans="1:7">
      <c r="A249" t="s">
        <v>3140</v>
      </c>
      <c r="B249" t="s">
        <v>844</v>
      </c>
      <c r="C249" t="s">
        <v>2660</v>
      </c>
      <c r="D249" t="s">
        <v>3141</v>
      </c>
      <c r="E249" s="2">
        <v>46091</v>
      </c>
      <c r="F249" s="2">
        <v>46199</v>
      </c>
      <c r="G249" t="s">
        <v>2645</v>
      </c>
    </row>
    <row r="250" spans="1:7">
      <c r="A250" t="s">
        <v>3142</v>
      </c>
      <c r="B250" t="s">
        <v>847</v>
      </c>
      <c r="C250" t="s">
        <v>2636</v>
      </c>
      <c r="D250" t="s">
        <v>3143</v>
      </c>
      <c r="E250" s="2">
        <v>46092</v>
      </c>
      <c r="F250" s="2">
        <v>46201</v>
      </c>
      <c r="G250" t="s">
        <v>2649</v>
      </c>
    </row>
    <row r="251" spans="1:7">
      <c r="A251" t="s">
        <v>3144</v>
      </c>
      <c r="B251" t="s">
        <v>850</v>
      </c>
      <c r="C251" t="s">
        <v>2640</v>
      </c>
      <c r="D251" t="s">
        <v>3145</v>
      </c>
      <c r="E251" s="2">
        <v>46093</v>
      </c>
      <c r="F251" s="2"/>
      <c r="G251" t="s">
        <v>2638</v>
      </c>
    </row>
    <row r="252" spans="1:7">
      <c r="A252" t="s">
        <v>3146</v>
      </c>
      <c r="B252" t="s">
        <v>853</v>
      </c>
      <c r="C252" t="s">
        <v>2643</v>
      </c>
      <c r="D252" t="s">
        <v>3147</v>
      </c>
      <c r="E252" s="2">
        <v>46094</v>
      </c>
      <c r="F252" s="2"/>
      <c r="G252" t="s">
        <v>2638</v>
      </c>
    </row>
    <row r="253" spans="1:7">
      <c r="A253" t="s">
        <v>3148</v>
      </c>
      <c r="B253" t="s">
        <v>856</v>
      </c>
      <c r="C253" t="s">
        <v>2647</v>
      </c>
      <c r="D253" t="s">
        <v>3149</v>
      </c>
      <c r="E253" s="2">
        <v>46095</v>
      </c>
      <c r="F253" s="2"/>
      <c r="G253" t="s">
        <v>2638</v>
      </c>
    </row>
    <row r="254" spans="1:7">
      <c r="A254" t="s">
        <v>3150</v>
      </c>
      <c r="B254" t="s">
        <v>859</v>
      </c>
      <c r="C254" t="s">
        <v>2651</v>
      </c>
      <c r="D254" t="s">
        <v>3151</v>
      </c>
      <c r="E254" s="2">
        <v>46096</v>
      </c>
      <c r="F254" s="2">
        <v>46159</v>
      </c>
      <c r="G254" t="s">
        <v>2645</v>
      </c>
    </row>
    <row r="255" spans="1:7">
      <c r="A255" t="s">
        <v>3152</v>
      </c>
      <c r="B255" t="s">
        <v>862</v>
      </c>
      <c r="C255" t="s">
        <v>2654</v>
      </c>
      <c r="D255" t="s">
        <v>3153</v>
      </c>
      <c r="E255" s="2">
        <v>46097</v>
      </c>
      <c r="F255" s="2">
        <v>46161</v>
      </c>
      <c r="G255" t="s">
        <v>2649</v>
      </c>
    </row>
    <row r="256" spans="1:7">
      <c r="A256" t="s">
        <v>3154</v>
      </c>
      <c r="B256" t="s">
        <v>865</v>
      </c>
      <c r="C256" t="s">
        <v>2657</v>
      </c>
      <c r="D256" t="s">
        <v>3155</v>
      </c>
      <c r="E256" s="2">
        <v>46098</v>
      </c>
      <c r="F256" s="2"/>
      <c r="G256" t="s">
        <v>2638</v>
      </c>
    </row>
    <row r="257" spans="1:7">
      <c r="A257" t="s">
        <v>3156</v>
      </c>
      <c r="B257" t="s">
        <v>868</v>
      </c>
      <c r="C257" t="s">
        <v>2660</v>
      </c>
      <c r="D257" t="s">
        <v>3157</v>
      </c>
      <c r="E257" s="2">
        <v>46099</v>
      </c>
      <c r="F257" s="2"/>
      <c r="G257" t="s">
        <v>2638</v>
      </c>
    </row>
    <row r="258" spans="1:7">
      <c r="A258" t="s">
        <v>3158</v>
      </c>
      <c r="B258" t="s">
        <v>871</v>
      </c>
      <c r="C258" t="s">
        <v>2636</v>
      </c>
      <c r="D258" t="s">
        <v>3159</v>
      </c>
      <c r="E258" s="2">
        <v>46100</v>
      </c>
      <c r="F258" s="2"/>
      <c r="G258" t="s">
        <v>2638</v>
      </c>
    </row>
    <row r="259" spans="1:7">
      <c r="A259" t="s">
        <v>3160</v>
      </c>
      <c r="B259" t="s">
        <v>874</v>
      </c>
      <c r="C259" t="s">
        <v>2640</v>
      </c>
      <c r="D259" t="s">
        <v>3161</v>
      </c>
      <c r="E259" s="2">
        <v>46101</v>
      </c>
      <c r="F259" s="2">
        <v>46169</v>
      </c>
      <c r="G259" t="s">
        <v>2645</v>
      </c>
    </row>
    <row r="260" spans="1:7">
      <c r="A260" t="s">
        <v>3162</v>
      </c>
      <c r="B260" t="s">
        <v>877</v>
      </c>
      <c r="C260" t="s">
        <v>2643</v>
      </c>
      <c r="D260" t="s">
        <v>3163</v>
      </c>
      <c r="E260" s="2">
        <v>46102</v>
      </c>
      <c r="F260" s="2">
        <v>46171</v>
      </c>
      <c r="G260" t="s">
        <v>2649</v>
      </c>
    </row>
    <row r="261" spans="1:7">
      <c r="A261" t="s">
        <v>3164</v>
      </c>
      <c r="B261" t="s">
        <v>880</v>
      </c>
      <c r="C261" t="s">
        <v>2647</v>
      </c>
      <c r="D261" t="s">
        <v>3165</v>
      </c>
      <c r="E261" s="2">
        <v>46103</v>
      </c>
      <c r="F261" s="2"/>
      <c r="G261" t="s">
        <v>2638</v>
      </c>
    </row>
    <row r="262" spans="1:7">
      <c r="A262" t="s">
        <v>3166</v>
      </c>
      <c r="B262" t="s">
        <v>883</v>
      </c>
      <c r="C262" t="s">
        <v>2651</v>
      </c>
      <c r="D262" t="s">
        <v>3167</v>
      </c>
      <c r="E262" s="2">
        <v>46104</v>
      </c>
      <c r="F262" s="2"/>
      <c r="G262" t="s">
        <v>2638</v>
      </c>
    </row>
    <row r="263" spans="1:7">
      <c r="A263" t="s">
        <v>3168</v>
      </c>
      <c r="B263" t="s">
        <v>886</v>
      </c>
      <c r="C263" t="s">
        <v>2654</v>
      </c>
      <c r="D263" t="s">
        <v>3169</v>
      </c>
      <c r="E263" s="2">
        <v>46105</v>
      </c>
      <c r="F263" s="2"/>
      <c r="G263" t="s">
        <v>2638</v>
      </c>
    </row>
    <row r="264" spans="1:7">
      <c r="A264" t="s">
        <v>3170</v>
      </c>
      <c r="B264" t="s">
        <v>889</v>
      </c>
      <c r="C264" t="s">
        <v>2657</v>
      </c>
      <c r="D264" t="s">
        <v>3171</v>
      </c>
      <c r="E264" s="2">
        <v>46106</v>
      </c>
      <c r="F264" s="2">
        <v>46179</v>
      </c>
      <c r="G264" t="s">
        <v>2645</v>
      </c>
    </row>
    <row r="265" spans="1:7">
      <c r="A265" t="s">
        <v>3172</v>
      </c>
      <c r="B265" t="s">
        <v>892</v>
      </c>
      <c r="C265" t="s">
        <v>2660</v>
      </c>
      <c r="D265" t="s">
        <v>3173</v>
      </c>
      <c r="E265" s="2">
        <v>46107</v>
      </c>
      <c r="F265" s="2">
        <v>46181</v>
      </c>
      <c r="G265" t="s">
        <v>2649</v>
      </c>
    </row>
    <row r="266" spans="1:7">
      <c r="A266" t="s">
        <v>3174</v>
      </c>
      <c r="B266" t="s">
        <v>895</v>
      </c>
      <c r="C266" t="s">
        <v>2636</v>
      </c>
      <c r="D266" t="s">
        <v>3175</v>
      </c>
      <c r="E266" s="2">
        <v>46108</v>
      </c>
      <c r="F266" s="2"/>
      <c r="G266" t="s">
        <v>2638</v>
      </c>
    </row>
    <row r="267" spans="1:7">
      <c r="A267" t="s">
        <v>3176</v>
      </c>
      <c r="B267" t="s">
        <v>898</v>
      </c>
      <c r="C267" t="s">
        <v>2640</v>
      </c>
      <c r="D267" t="s">
        <v>3177</v>
      </c>
      <c r="E267" s="2">
        <v>46109</v>
      </c>
      <c r="F267" s="2"/>
      <c r="G267" t="s">
        <v>2638</v>
      </c>
    </row>
    <row r="268" spans="1:7">
      <c r="A268" t="s">
        <v>3178</v>
      </c>
      <c r="B268" t="s">
        <v>901</v>
      </c>
      <c r="C268" t="s">
        <v>2643</v>
      </c>
      <c r="D268" t="s">
        <v>3179</v>
      </c>
      <c r="E268" s="2">
        <v>46110</v>
      </c>
      <c r="F268" s="2"/>
      <c r="G268" t="s">
        <v>2638</v>
      </c>
    </row>
    <row r="269" spans="1:7">
      <c r="A269" t="s">
        <v>3180</v>
      </c>
      <c r="B269" t="s">
        <v>904</v>
      </c>
      <c r="C269" t="s">
        <v>2647</v>
      </c>
      <c r="D269" t="s">
        <v>3181</v>
      </c>
      <c r="E269" s="2">
        <v>46111</v>
      </c>
      <c r="F269" s="2">
        <v>46189</v>
      </c>
      <c r="G269" t="s">
        <v>2645</v>
      </c>
    </row>
    <row r="270" spans="1:7">
      <c r="A270" t="s">
        <v>3182</v>
      </c>
      <c r="B270" t="s">
        <v>907</v>
      </c>
      <c r="C270" t="s">
        <v>2651</v>
      </c>
      <c r="D270" t="s">
        <v>3183</v>
      </c>
      <c r="E270" s="2">
        <v>46112</v>
      </c>
      <c r="F270" s="2">
        <v>46191</v>
      </c>
      <c r="G270" t="s">
        <v>2649</v>
      </c>
    </row>
    <row r="271" spans="1:7">
      <c r="A271" t="s">
        <v>3184</v>
      </c>
      <c r="B271" t="s">
        <v>910</v>
      </c>
      <c r="C271" t="s">
        <v>2654</v>
      </c>
      <c r="D271" t="s">
        <v>3185</v>
      </c>
      <c r="E271" s="2">
        <v>46113</v>
      </c>
      <c r="F271" s="2"/>
      <c r="G271" t="s">
        <v>2638</v>
      </c>
    </row>
    <row r="272" spans="1:7">
      <c r="A272" t="s">
        <v>3186</v>
      </c>
      <c r="B272" t="s">
        <v>913</v>
      </c>
      <c r="C272" t="s">
        <v>2657</v>
      </c>
      <c r="D272" t="s">
        <v>3187</v>
      </c>
      <c r="E272" s="2">
        <v>46114</v>
      </c>
      <c r="F272" s="2"/>
      <c r="G272" t="s">
        <v>2638</v>
      </c>
    </row>
    <row r="273" spans="1:7">
      <c r="A273" t="s">
        <v>3188</v>
      </c>
      <c r="B273" t="s">
        <v>916</v>
      </c>
      <c r="C273" t="s">
        <v>2660</v>
      </c>
      <c r="D273" t="s">
        <v>3189</v>
      </c>
      <c r="E273" s="2">
        <v>46115</v>
      </c>
      <c r="F273" s="2"/>
      <c r="G273" t="s">
        <v>2638</v>
      </c>
    </row>
    <row r="274" spans="1:7">
      <c r="A274" t="s">
        <v>3190</v>
      </c>
      <c r="B274" t="s">
        <v>919</v>
      </c>
      <c r="C274" t="s">
        <v>2636</v>
      </c>
      <c r="D274" t="s">
        <v>3191</v>
      </c>
      <c r="E274" s="2">
        <v>46116</v>
      </c>
      <c r="F274" s="2">
        <v>46199</v>
      </c>
      <c r="G274" t="s">
        <v>2645</v>
      </c>
    </row>
    <row r="275" spans="1:7">
      <c r="A275" t="s">
        <v>3192</v>
      </c>
      <c r="B275" t="s">
        <v>922</v>
      </c>
      <c r="C275" t="s">
        <v>2640</v>
      </c>
      <c r="D275" t="s">
        <v>3193</v>
      </c>
      <c r="E275" s="2">
        <v>46117</v>
      </c>
      <c r="F275" s="2">
        <v>46201</v>
      </c>
      <c r="G275" t="s">
        <v>2649</v>
      </c>
    </row>
    <row r="276" spans="1:7">
      <c r="A276" t="s">
        <v>3194</v>
      </c>
      <c r="B276" t="s">
        <v>925</v>
      </c>
      <c r="C276" t="s">
        <v>2643</v>
      </c>
      <c r="D276" t="s">
        <v>3195</v>
      </c>
      <c r="E276" s="2">
        <v>46118</v>
      </c>
      <c r="F276" s="2"/>
      <c r="G276" t="s">
        <v>2638</v>
      </c>
    </row>
    <row r="277" spans="1:7">
      <c r="A277" t="s">
        <v>3196</v>
      </c>
      <c r="B277" t="s">
        <v>928</v>
      </c>
      <c r="C277" t="s">
        <v>2647</v>
      </c>
      <c r="D277" t="s">
        <v>3197</v>
      </c>
      <c r="E277" s="2">
        <v>46119</v>
      </c>
      <c r="F277" s="2"/>
      <c r="G277" t="s">
        <v>2638</v>
      </c>
    </row>
    <row r="278" spans="1:7">
      <c r="A278" t="s">
        <v>3198</v>
      </c>
      <c r="B278" t="s">
        <v>931</v>
      </c>
      <c r="C278" t="s">
        <v>2651</v>
      </c>
      <c r="D278" t="s">
        <v>3199</v>
      </c>
      <c r="E278" s="2">
        <v>46120</v>
      </c>
      <c r="F278" s="2"/>
      <c r="G278" t="s">
        <v>2638</v>
      </c>
    </row>
    <row r="279" spans="1:7">
      <c r="A279" t="s">
        <v>3200</v>
      </c>
      <c r="B279" t="s">
        <v>934</v>
      </c>
      <c r="C279" t="s">
        <v>2654</v>
      </c>
      <c r="D279" t="s">
        <v>3201</v>
      </c>
      <c r="E279" s="2">
        <v>46121</v>
      </c>
      <c r="F279" s="2">
        <v>46209</v>
      </c>
      <c r="G279" t="s">
        <v>2645</v>
      </c>
    </row>
    <row r="280" spans="1:7">
      <c r="A280" t="s">
        <v>3202</v>
      </c>
      <c r="B280" t="s">
        <v>937</v>
      </c>
      <c r="C280" t="s">
        <v>2657</v>
      </c>
      <c r="D280" t="s">
        <v>3203</v>
      </c>
      <c r="E280" s="2">
        <v>46122</v>
      </c>
      <c r="F280" s="2">
        <v>46211</v>
      </c>
      <c r="G280" t="s">
        <v>2649</v>
      </c>
    </row>
    <row r="281" spans="1:7">
      <c r="A281" t="s">
        <v>3204</v>
      </c>
      <c r="B281" t="s">
        <v>940</v>
      </c>
      <c r="C281" t="s">
        <v>2660</v>
      </c>
      <c r="D281" t="s">
        <v>3205</v>
      </c>
      <c r="E281" s="2">
        <v>46123</v>
      </c>
      <c r="F281" s="2"/>
      <c r="G281" t="s">
        <v>2638</v>
      </c>
    </row>
    <row r="282" spans="1:7">
      <c r="A282" t="s">
        <v>3206</v>
      </c>
      <c r="B282" t="s">
        <v>943</v>
      </c>
      <c r="C282" t="s">
        <v>2636</v>
      </c>
      <c r="D282" t="s">
        <v>3207</v>
      </c>
      <c r="E282" s="2">
        <v>46124</v>
      </c>
      <c r="F282" s="2"/>
      <c r="G282" t="s">
        <v>2638</v>
      </c>
    </row>
    <row r="283" spans="1:7">
      <c r="A283" t="s">
        <v>3208</v>
      </c>
      <c r="B283" t="s">
        <v>946</v>
      </c>
      <c r="C283" t="s">
        <v>2640</v>
      </c>
      <c r="D283" t="s">
        <v>3209</v>
      </c>
      <c r="E283" s="2">
        <v>46125</v>
      </c>
      <c r="F283" s="2"/>
      <c r="G283" t="s">
        <v>2638</v>
      </c>
    </row>
    <row r="284" spans="1:7">
      <c r="A284" t="s">
        <v>3210</v>
      </c>
      <c r="B284" t="s">
        <v>949</v>
      </c>
      <c r="C284" t="s">
        <v>2643</v>
      </c>
      <c r="D284" t="s">
        <v>3211</v>
      </c>
      <c r="E284" s="2">
        <v>46126</v>
      </c>
      <c r="F284" s="2">
        <v>46219</v>
      </c>
      <c r="G284" t="s">
        <v>2645</v>
      </c>
    </row>
    <row r="285" spans="1:7">
      <c r="A285" t="s">
        <v>3212</v>
      </c>
      <c r="B285" t="s">
        <v>952</v>
      </c>
      <c r="C285" t="s">
        <v>2647</v>
      </c>
      <c r="D285" t="s">
        <v>3213</v>
      </c>
      <c r="E285" s="2">
        <v>46127</v>
      </c>
      <c r="F285" s="2">
        <v>46221</v>
      </c>
      <c r="G285" t="s">
        <v>2649</v>
      </c>
    </row>
    <row r="286" spans="1:7">
      <c r="A286" t="s">
        <v>3214</v>
      </c>
      <c r="B286" t="s">
        <v>955</v>
      </c>
      <c r="C286" t="s">
        <v>2651</v>
      </c>
      <c r="D286" t="s">
        <v>3215</v>
      </c>
      <c r="E286" s="2">
        <v>46128</v>
      </c>
      <c r="F286" s="2"/>
      <c r="G286" t="s">
        <v>2638</v>
      </c>
    </row>
    <row r="287" spans="1:7">
      <c r="A287" t="s">
        <v>3216</v>
      </c>
      <c r="B287" t="s">
        <v>958</v>
      </c>
      <c r="C287" t="s">
        <v>2654</v>
      </c>
      <c r="D287" t="s">
        <v>3217</v>
      </c>
      <c r="E287" s="2">
        <v>46129</v>
      </c>
      <c r="F287" s="2"/>
      <c r="G287" t="s">
        <v>2638</v>
      </c>
    </row>
    <row r="288" spans="1:7">
      <c r="A288" t="s">
        <v>3218</v>
      </c>
      <c r="B288" t="s">
        <v>961</v>
      </c>
      <c r="C288" t="s">
        <v>2657</v>
      </c>
      <c r="D288" t="s">
        <v>3219</v>
      </c>
      <c r="E288" s="2">
        <v>46130</v>
      </c>
      <c r="F288" s="2"/>
      <c r="G288" t="s">
        <v>2638</v>
      </c>
    </row>
    <row r="289" spans="1:7">
      <c r="A289" t="s">
        <v>3220</v>
      </c>
      <c r="B289" t="s">
        <v>964</v>
      </c>
      <c r="C289" t="s">
        <v>2660</v>
      </c>
      <c r="D289" t="s">
        <v>3221</v>
      </c>
      <c r="E289" s="2">
        <v>46131</v>
      </c>
      <c r="F289" s="2">
        <v>46229</v>
      </c>
      <c r="G289" t="s">
        <v>2645</v>
      </c>
    </row>
    <row r="290" spans="1:7">
      <c r="A290" t="s">
        <v>3222</v>
      </c>
      <c r="B290" t="s">
        <v>967</v>
      </c>
      <c r="C290" t="s">
        <v>2636</v>
      </c>
      <c r="D290" t="s">
        <v>3223</v>
      </c>
      <c r="E290" s="2">
        <v>46132</v>
      </c>
      <c r="F290" s="2">
        <v>46231</v>
      </c>
      <c r="G290" t="s">
        <v>2649</v>
      </c>
    </row>
    <row r="291" spans="1:7">
      <c r="A291" t="s">
        <v>3224</v>
      </c>
      <c r="B291" t="s">
        <v>970</v>
      </c>
      <c r="C291" t="s">
        <v>2640</v>
      </c>
      <c r="D291" t="s">
        <v>3225</v>
      </c>
      <c r="E291" s="2">
        <v>46133</v>
      </c>
      <c r="F291" s="2"/>
      <c r="G291" t="s">
        <v>2638</v>
      </c>
    </row>
    <row r="292" spans="1:7">
      <c r="A292" t="s">
        <v>3226</v>
      </c>
      <c r="B292" t="s">
        <v>973</v>
      </c>
      <c r="C292" t="s">
        <v>2643</v>
      </c>
      <c r="D292" t="s">
        <v>3227</v>
      </c>
      <c r="E292" s="2">
        <v>46134</v>
      </c>
      <c r="F292" s="2"/>
      <c r="G292" t="s">
        <v>2638</v>
      </c>
    </row>
    <row r="293" spans="1:7">
      <c r="A293" t="s">
        <v>3228</v>
      </c>
      <c r="B293" t="s">
        <v>976</v>
      </c>
      <c r="C293" t="s">
        <v>2647</v>
      </c>
      <c r="D293" t="s">
        <v>3229</v>
      </c>
      <c r="E293" s="2">
        <v>46135</v>
      </c>
      <c r="F293" s="2"/>
      <c r="G293" t="s">
        <v>2638</v>
      </c>
    </row>
    <row r="294" spans="1:7">
      <c r="A294" t="s">
        <v>3230</v>
      </c>
      <c r="B294" t="s">
        <v>979</v>
      </c>
      <c r="C294" t="s">
        <v>2651</v>
      </c>
      <c r="D294" t="s">
        <v>3231</v>
      </c>
      <c r="E294" s="2">
        <v>46136</v>
      </c>
      <c r="F294" s="2">
        <v>46239</v>
      </c>
      <c r="G294" t="s">
        <v>2645</v>
      </c>
    </row>
    <row r="295" spans="1:7">
      <c r="A295" t="s">
        <v>3232</v>
      </c>
      <c r="B295" t="s">
        <v>982</v>
      </c>
      <c r="C295" t="s">
        <v>2654</v>
      </c>
      <c r="D295" t="s">
        <v>3233</v>
      </c>
      <c r="E295" s="2">
        <v>46137</v>
      </c>
      <c r="F295" s="2">
        <v>46241</v>
      </c>
      <c r="G295" t="s">
        <v>2649</v>
      </c>
    </row>
    <row r="296" spans="1:7">
      <c r="A296" t="s">
        <v>3234</v>
      </c>
      <c r="B296" t="s">
        <v>985</v>
      </c>
      <c r="C296" t="s">
        <v>2657</v>
      </c>
      <c r="D296" t="s">
        <v>3235</v>
      </c>
      <c r="E296" s="2">
        <v>46138</v>
      </c>
      <c r="F296" s="2"/>
      <c r="G296" t="s">
        <v>2638</v>
      </c>
    </row>
    <row r="297" spans="1:7">
      <c r="A297" t="s">
        <v>3236</v>
      </c>
      <c r="B297" t="s">
        <v>988</v>
      </c>
      <c r="C297" t="s">
        <v>2660</v>
      </c>
      <c r="D297" t="s">
        <v>3237</v>
      </c>
      <c r="E297" s="2">
        <v>46139</v>
      </c>
      <c r="F297" s="2"/>
      <c r="G297" t="s">
        <v>2638</v>
      </c>
    </row>
    <row r="298" spans="1:7">
      <c r="A298" t="s">
        <v>3238</v>
      </c>
      <c r="B298" t="s">
        <v>991</v>
      </c>
      <c r="C298" t="s">
        <v>2636</v>
      </c>
      <c r="D298" t="s">
        <v>3239</v>
      </c>
      <c r="E298" s="2">
        <v>46140</v>
      </c>
      <c r="F298" s="2"/>
      <c r="G298" t="s">
        <v>2638</v>
      </c>
    </row>
    <row r="299" spans="1:7">
      <c r="A299" t="s">
        <v>3240</v>
      </c>
      <c r="B299" t="s">
        <v>994</v>
      </c>
      <c r="C299" t="s">
        <v>2640</v>
      </c>
      <c r="D299" t="s">
        <v>3241</v>
      </c>
      <c r="E299" s="2">
        <v>46141</v>
      </c>
      <c r="F299" s="2">
        <v>46249</v>
      </c>
      <c r="G299" t="s">
        <v>2645</v>
      </c>
    </row>
    <row r="300" spans="1:7">
      <c r="A300" t="s">
        <v>3242</v>
      </c>
      <c r="B300" t="s">
        <v>997</v>
      </c>
      <c r="C300" t="s">
        <v>2643</v>
      </c>
      <c r="D300" t="s">
        <v>3243</v>
      </c>
      <c r="E300" s="2">
        <v>46142</v>
      </c>
      <c r="F300" s="2">
        <v>46251</v>
      </c>
      <c r="G300" t="s">
        <v>2649</v>
      </c>
    </row>
    <row r="301" spans="1:7">
      <c r="A301" t="s">
        <v>3244</v>
      </c>
      <c r="B301" t="s">
        <v>1000</v>
      </c>
      <c r="C301" t="s">
        <v>2647</v>
      </c>
      <c r="D301" t="s">
        <v>3245</v>
      </c>
      <c r="E301" s="2">
        <v>46143</v>
      </c>
      <c r="F301" s="2"/>
      <c r="G301" t="s">
        <v>2638</v>
      </c>
    </row>
    <row r="302" spans="1:7">
      <c r="A302" t="s">
        <v>3246</v>
      </c>
      <c r="B302" t="s">
        <v>1003</v>
      </c>
      <c r="C302" t="s">
        <v>2651</v>
      </c>
      <c r="D302" t="s">
        <v>3247</v>
      </c>
      <c r="E302" s="2">
        <v>46144</v>
      </c>
      <c r="F302" s="2"/>
      <c r="G302" t="s">
        <v>2638</v>
      </c>
    </row>
    <row r="303" spans="1:7">
      <c r="A303" t="s">
        <v>3248</v>
      </c>
      <c r="B303" t="s">
        <v>1006</v>
      </c>
      <c r="C303" t="s">
        <v>2654</v>
      </c>
      <c r="D303" t="s">
        <v>3249</v>
      </c>
      <c r="E303" s="2">
        <v>46145</v>
      </c>
      <c r="F303" s="2"/>
      <c r="G303" t="s">
        <v>2638</v>
      </c>
    </row>
    <row r="304" spans="1:7">
      <c r="A304" t="s">
        <v>3250</v>
      </c>
      <c r="B304" t="s">
        <v>1009</v>
      </c>
      <c r="C304" t="s">
        <v>2657</v>
      </c>
      <c r="D304" t="s">
        <v>3251</v>
      </c>
      <c r="E304" s="2">
        <v>46146</v>
      </c>
      <c r="F304" s="2">
        <v>46209</v>
      </c>
      <c r="G304" t="s">
        <v>2645</v>
      </c>
    </row>
    <row r="305" spans="1:7">
      <c r="A305" t="s">
        <v>3252</v>
      </c>
      <c r="B305" t="s">
        <v>1012</v>
      </c>
      <c r="C305" t="s">
        <v>2660</v>
      </c>
      <c r="D305" t="s">
        <v>3253</v>
      </c>
      <c r="E305" s="2">
        <v>46147</v>
      </c>
      <c r="F305" s="2">
        <v>46211</v>
      </c>
      <c r="G305" t="s">
        <v>2649</v>
      </c>
    </row>
    <row r="306" spans="1:7">
      <c r="A306" t="s">
        <v>3254</v>
      </c>
      <c r="B306" t="s">
        <v>1015</v>
      </c>
      <c r="C306" t="s">
        <v>2636</v>
      </c>
      <c r="D306" t="s">
        <v>3255</v>
      </c>
      <c r="E306" s="2">
        <v>46148</v>
      </c>
      <c r="F306" s="2"/>
      <c r="G306" t="s">
        <v>2638</v>
      </c>
    </row>
    <row r="307" spans="1:7">
      <c r="A307" t="s">
        <v>3256</v>
      </c>
      <c r="B307" t="s">
        <v>1018</v>
      </c>
      <c r="C307" t="s">
        <v>2640</v>
      </c>
      <c r="D307" t="s">
        <v>3257</v>
      </c>
      <c r="E307" s="2">
        <v>46149</v>
      </c>
      <c r="F307" s="2"/>
      <c r="G307" t="s">
        <v>2638</v>
      </c>
    </row>
    <row r="308" spans="1:7">
      <c r="A308" t="s">
        <v>3258</v>
      </c>
      <c r="B308" t="s">
        <v>1021</v>
      </c>
      <c r="C308" t="s">
        <v>2643</v>
      </c>
      <c r="D308" t="s">
        <v>3259</v>
      </c>
      <c r="E308" s="2">
        <v>46150</v>
      </c>
      <c r="F308" s="2"/>
      <c r="G308" t="s">
        <v>2638</v>
      </c>
    </row>
    <row r="309" spans="1:7">
      <c r="A309" t="s">
        <v>3260</v>
      </c>
      <c r="B309" t="s">
        <v>1024</v>
      </c>
      <c r="C309" t="s">
        <v>2647</v>
      </c>
      <c r="D309" t="s">
        <v>3261</v>
      </c>
      <c r="E309" s="2">
        <v>46151</v>
      </c>
      <c r="F309" s="2">
        <v>46219</v>
      </c>
      <c r="G309" t="s">
        <v>2645</v>
      </c>
    </row>
    <row r="310" spans="1:7">
      <c r="A310" t="s">
        <v>3262</v>
      </c>
      <c r="B310" t="s">
        <v>1027</v>
      </c>
      <c r="C310" t="s">
        <v>2651</v>
      </c>
      <c r="D310" t="s">
        <v>3263</v>
      </c>
      <c r="E310" s="2">
        <v>46152</v>
      </c>
      <c r="F310" s="2">
        <v>46221</v>
      </c>
      <c r="G310" t="s">
        <v>2649</v>
      </c>
    </row>
    <row r="311" spans="1:7">
      <c r="A311" t="s">
        <v>3264</v>
      </c>
      <c r="B311" t="s">
        <v>1030</v>
      </c>
      <c r="C311" t="s">
        <v>2654</v>
      </c>
      <c r="D311" t="s">
        <v>3265</v>
      </c>
      <c r="E311" s="2">
        <v>46153</v>
      </c>
      <c r="F311" s="2"/>
      <c r="G311" t="s">
        <v>2638</v>
      </c>
    </row>
    <row r="312" spans="1:7">
      <c r="A312" t="s">
        <v>3266</v>
      </c>
      <c r="B312" t="s">
        <v>1033</v>
      </c>
      <c r="C312" t="s">
        <v>2657</v>
      </c>
      <c r="D312" t="s">
        <v>3267</v>
      </c>
      <c r="E312" s="2">
        <v>46154</v>
      </c>
      <c r="F312" s="2"/>
      <c r="G312" t="s">
        <v>2638</v>
      </c>
    </row>
    <row r="313" spans="1:7">
      <c r="A313" t="s">
        <v>3268</v>
      </c>
      <c r="B313" t="s">
        <v>1036</v>
      </c>
      <c r="C313" t="s">
        <v>2660</v>
      </c>
      <c r="D313" t="s">
        <v>3269</v>
      </c>
      <c r="E313" s="2">
        <v>46155</v>
      </c>
      <c r="F313" s="2"/>
      <c r="G313" t="s">
        <v>2638</v>
      </c>
    </row>
    <row r="314" spans="1:7">
      <c r="A314" t="s">
        <v>3270</v>
      </c>
      <c r="B314" t="s">
        <v>1039</v>
      </c>
      <c r="C314" t="s">
        <v>2636</v>
      </c>
      <c r="D314" t="s">
        <v>3271</v>
      </c>
      <c r="E314" s="2">
        <v>46156</v>
      </c>
      <c r="F314" s="2">
        <v>46229</v>
      </c>
      <c r="G314" t="s">
        <v>2645</v>
      </c>
    </row>
    <row r="315" spans="1:7">
      <c r="A315" t="s">
        <v>3272</v>
      </c>
      <c r="B315" t="s">
        <v>1042</v>
      </c>
      <c r="C315" t="s">
        <v>2640</v>
      </c>
      <c r="D315" t="s">
        <v>3273</v>
      </c>
      <c r="E315" s="2">
        <v>46157</v>
      </c>
      <c r="F315" s="2">
        <v>46231</v>
      </c>
      <c r="G315" t="s">
        <v>2649</v>
      </c>
    </row>
    <row r="316" spans="1:7">
      <c r="A316" t="s">
        <v>3274</v>
      </c>
      <c r="B316" t="s">
        <v>1045</v>
      </c>
      <c r="C316" t="s">
        <v>2643</v>
      </c>
      <c r="D316" t="s">
        <v>3275</v>
      </c>
      <c r="E316" s="2">
        <v>46158</v>
      </c>
      <c r="F316" s="2"/>
      <c r="G316" t="s">
        <v>2638</v>
      </c>
    </row>
    <row r="317" spans="1:7">
      <c r="A317" t="s">
        <v>3276</v>
      </c>
      <c r="B317" t="s">
        <v>1048</v>
      </c>
      <c r="C317" t="s">
        <v>2647</v>
      </c>
      <c r="D317" t="s">
        <v>3277</v>
      </c>
      <c r="E317" s="2">
        <v>46159</v>
      </c>
      <c r="F317" s="2"/>
      <c r="G317" t="s">
        <v>2638</v>
      </c>
    </row>
    <row r="318" spans="1:7">
      <c r="A318" t="s">
        <v>3278</v>
      </c>
      <c r="B318" t="s">
        <v>1051</v>
      </c>
      <c r="C318" t="s">
        <v>2651</v>
      </c>
      <c r="D318" t="s">
        <v>3279</v>
      </c>
      <c r="E318" s="2">
        <v>46160</v>
      </c>
      <c r="F318" s="2"/>
      <c r="G318" t="s">
        <v>2638</v>
      </c>
    </row>
    <row r="319" spans="1:7">
      <c r="A319" t="s">
        <v>3280</v>
      </c>
      <c r="B319" t="s">
        <v>1054</v>
      </c>
      <c r="C319" t="s">
        <v>2654</v>
      </c>
      <c r="D319" t="s">
        <v>3281</v>
      </c>
      <c r="E319" s="2">
        <v>46161</v>
      </c>
      <c r="F319" s="2">
        <v>46239</v>
      </c>
      <c r="G319" t="s">
        <v>2645</v>
      </c>
    </row>
    <row r="320" spans="1:7">
      <c r="A320" t="s">
        <v>3282</v>
      </c>
      <c r="B320" t="s">
        <v>1057</v>
      </c>
      <c r="C320" t="s">
        <v>2657</v>
      </c>
      <c r="D320" t="s">
        <v>3283</v>
      </c>
      <c r="E320" s="2">
        <v>46162</v>
      </c>
      <c r="F320" s="2">
        <v>46241</v>
      </c>
      <c r="G320" t="s">
        <v>2649</v>
      </c>
    </row>
    <row r="321" spans="1:7">
      <c r="A321" t="s">
        <v>3284</v>
      </c>
      <c r="B321" t="s">
        <v>1060</v>
      </c>
      <c r="C321" t="s">
        <v>2660</v>
      </c>
      <c r="D321" t="s">
        <v>3285</v>
      </c>
      <c r="E321" s="2">
        <v>46163</v>
      </c>
      <c r="F321" s="2"/>
      <c r="G321" t="s">
        <v>2638</v>
      </c>
    </row>
    <row r="322" spans="1:7">
      <c r="A322" t="s">
        <v>3286</v>
      </c>
      <c r="B322" t="s">
        <v>1063</v>
      </c>
      <c r="C322" t="s">
        <v>2636</v>
      </c>
      <c r="D322" t="s">
        <v>3287</v>
      </c>
      <c r="E322" s="2">
        <v>46164</v>
      </c>
      <c r="F322" s="2"/>
      <c r="G322" t="s">
        <v>2638</v>
      </c>
    </row>
    <row r="323" spans="1:7">
      <c r="A323" t="s">
        <v>3288</v>
      </c>
      <c r="B323" t="s">
        <v>1066</v>
      </c>
      <c r="C323" t="s">
        <v>2640</v>
      </c>
      <c r="D323" t="s">
        <v>3289</v>
      </c>
      <c r="E323" s="2">
        <v>46165</v>
      </c>
      <c r="F323" s="2"/>
      <c r="G323" t="s">
        <v>2638</v>
      </c>
    </row>
    <row r="324" spans="1:7">
      <c r="A324" t="s">
        <v>3290</v>
      </c>
      <c r="B324" t="s">
        <v>1069</v>
      </c>
      <c r="C324" t="s">
        <v>2643</v>
      </c>
      <c r="D324" t="s">
        <v>3291</v>
      </c>
      <c r="E324" s="2">
        <v>46166</v>
      </c>
      <c r="F324" s="2">
        <v>46249</v>
      </c>
      <c r="G324" t="s">
        <v>2645</v>
      </c>
    </row>
    <row r="325" spans="1:7">
      <c r="A325" t="s">
        <v>3292</v>
      </c>
      <c r="B325" t="s">
        <v>1072</v>
      </c>
      <c r="C325" t="s">
        <v>2647</v>
      </c>
      <c r="D325" t="s">
        <v>3293</v>
      </c>
      <c r="E325" s="2">
        <v>46167</v>
      </c>
      <c r="F325" s="2">
        <v>46251</v>
      </c>
      <c r="G325" t="s">
        <v>2649</v>
      </c>
    </row>
    <row r="326" spans="1:7">
      <c r="A326" t="s">
        <v>3294</v>
      </c>
      <c r="B326" t="s">
        <v>1075</v>
      </c>
      <c r="C326" t="s">
        <v>2651</v>
      </c>
      <c r="D326" t="s">
        <v>3295</v>
      </c>
      <c r="E326" s="2">
        <v>46168</v>
      </c>
      <c r="F326" s="2"/>
      <c r="G326" t="s">
        <v>2638</v>
      </c>
    </row>
    <row r="327" spans="1:7">
      <c r="A327" t="s">
        <v>3296</v>
      </c>
      <c r="B327" t="s">
        <v>1078</v>
      </c>
      <c r="C327" t="s">
        <v>2654</v>
      </c>
      <c r="D327" t="s">
        <v>3297</v>
      </c>
      <c r="E327" s="2">
        <v>46169</v>
      </c>
      <c r="F327" s="2"/>
      <c r="G327" t="s">
        <v>2638</v>
      </c>
    </row>
    <row r="328" spans="1:7">
      <c r="A328" t="s">
        <v>3298</v>
      </c>
      <c r="B328" t="s">
        <v>1081</v>
      </c>
      <c r="C328" t="s">
        <v>2657</v>
      </c>
      <c r="D328" t="s">
        <v>3299</v>
      </c>
      <c r="E328" s="2">
        <v>46170</v>
      </c>
      <c r="F328" s="2"/>
      <c r="G328" t="s">
        <v>2638</v>
      </c>
    </row>
    <row r="329" spans="1:7">
      <c r="A329" t="s">
        <v>3300</v>
      </c>
      <c r="B329" t="s">
        <v>1084</v>
      </c>
      <c r="C329" t="s">
        <v>2660</v>
      </c>
      <c r="D329" t="s">
        <v>3301</v>
      </c>
      <c r="E329" s="2">
        <v>46171</v>
      </c>
      <c r="F329" s="2">
        <v>46259</v>
      </c>
      <c r="G329" t="s">
        <v>2645</v>
      </c>
    </row>
    <row r="330" spans="1:7">
      <c r="A330" t="s">
        <v>3302</v>
      </c>
      <c r="B330" t="s">
        <v>1087</v>
      </c>
      <c r="C330" t="s">
        <v>2636</v>
      </c>
      <c r="D330" t="s">
        <v>3303</v>
      </c>
      <c r="E330" s="2">
        <v>46172</v>
      </c>
      <c r="F330" s="2">
        <v>46261</v>
      </c>
      <c r="G330" t="s">
        <v>2649</v>
      </c>
    </row>
    <row r="331" spans="1:7">
      <c r="A331" t="s">
        <v>3304</v>
      </c>
      <c r="B331" t="s">
        <v>1090</v>
      </c>
      <c r="C331" t="s">
        <v>2640</v>
      </c>
      <c r="D331" t="s">
        <v>3305</v>
      </c>
      <c r="E331" s="2">
        <v>46173</v>
      </c>
      <c r="F331" s="2"/>
      <c r="G331" t="s">
        <v>2638</v>
      </c>
    </row>
    <row r="332" spans="1:7">
      <c r="A332" t="s">
        <v>3306</v>
      </c>
      <c r="B332" t="s">
        <v>1093</v>
      </c>
      <c r="C332" t="s">
        <v>2643</v>
      </c>
      <c r="D332" t="s">
        <v>3307</v>
      </c>
      <c r="E332" s="2">
        <v>46174</v>
      </c>
      <c r="F332" s="2"/>
      <c r="G332" t="s">
        <v>2638</v>
      </c>
    </row>
    <row r="333" spans="1:7">
      <c r="A333" t="s">
        <v>3308</v>
      </c>
      <c r="B333" t="s">
        <v>1096</v>
      </c>
      <c r="C333" t="s">
        <v>2647</v>
      </c>
      <c r="D333" t="s">
        <v>3309</v>
      </c>
      <c r="E333" s="2">
        <v>46175</v>
      </c>
      <c r="F333" s="2"/>
      <c r="G333" t="s">
        <v>2638</v>
      </c>
    </row>
    <row r="334" spans="1:7">
      <c r="A334" t="s">
        <v>3310</v>
      </c>
      <c r="B334" t="s">
        <v>1099</v>
      </c>
      <c r="C334" t="s">
        <v>2651</v>
      </c>
      <c r="D334" t="s">
        <v>3311</v>
      </c>
      <c r="E334" s="2">
        <v>46176</v>
      </c>
      <c r="F334" s="2">
        <v>46269</v>
      </c>
      <c r="G334" t="s">
        <v>2645</v>
      </c>
    </row>
    <row r="335" spans="1:7">
      <c r="A335" t="s">
        <v>3312</v>
      </c>
      <c r="B335" t="s">
        <v>1102</v>
      </c>
      <c r="C335" t="s">
        <v>2654</v>
      </c>
      <c r="D335" t="s">
        <v>3313</v>
      </c>
      <c r="E335" s="2">
        <v>46177</v>
      </c>
      <c r="F335" s="2">
        <v>46271</v>
      </c>
      <c r="G335" t="s">
        <v>2649</v>
      </c>
    </row>
    <row r="336" spans="1:7">
      <c r="A336" t="s">
        <v>3314</v>
      </c>
      <c r="B336" t="s">
        <v>1105</v>
      </c>
      <c r="C336" t="s">
        <v>2657</v>
      </c>
      <c r="D336" t="s">
        <v>3315</v>
      </c>
      <c r="E336" s="2">
        <v>46178</v>
      </c>
      <c r="F336" s="2"/>
      <c r="G336" t="s">
        <v>2638</v>
      </c>
    </row>
    <row r="337" spans="1:7">
      <c r="A337" t="s">
        <v>3316</v>
      </c>
      <c r="B337" t="s">
        <v>1108</v>
      </c>
      <c r="C337" t="s">
        <v>2660</v>
      </c>
      <c r="D337" t="s">
        <v>3317</v>
      </c>
      <c r="E337" s="2">
        <v>46179</v>
      </c>
      <c r="F337" s="2"/>
      <c r="G337" t="s">
        <v>2638</v>
      </c>
    </row>
    <row r="338" spans="1:7">
      <c r="A338" t="s">
        <v>3318</v>
      </c>
      <c r="B338" t="s">
        <v>1111</v>
      </c>
      <c r="C338" t="s">
        <v>2636</v>
      </c>
      <c r="D338" t="s">
        <v>3319</v>
      </c>
      <c r="E338" s="2">
        <v>46180</v>
      </c>
      <c r="F338" s="2"/>
      <c r="G338" t="s">
        <v>2638</v>
      </c>
    </row>
    <row r="339" spans="1:7">
      <c r="A339" t="s">
        <v>3320</v>
      </c>
      <c r="B339" t="s">
        <v>1114</v>
      </c>
      <c r="C339" t="s">
        <v>2640</v>
      </c>
      <c r="D339" t="s">
        <v>3321</v>
      </c>
      <c r="E339" s="2">
        <v>46181</v>
      </c>
      <c r="F339" s="2">
        <v>46279</v>
      </c>
      <c r="G339" t="s">
        <v>2645</v>
      </c>
    </row>
    <row r="340" spans="1:7">
      <c r="A340" t="s">
        <v>3322</v>
      </c>
      <c r="B340" t="s">
        <v>1117</v>
      </c>
      <c r="C340" t="s">
        <v>2643</v>
      </c>
      <c r="D340" t="s">
        <v>3323</v>
      </c>
      <c r="E340" s="2">
        <v>46182</v>
      </c>
      <c r="F340" s="2">
        <v>46281</v>
      </c>
      <c r="G340" t="s">
        <v>2649</v>
      </c>
    </row>
    <row r="341" spans="1:7">
      <c r="A341" t="s">
        <v>3324</v>
      </c>
      <c r="B341" t="s">
        <v>1120</v>
      </c>
      <c r="C341" t="s">
        <v>2647</v>
      </c>
      <c r="D341" t="s">
        <v>3325</v>
      </c>
      <c r="E341" s="2">
        <v>46183</v>
      </c>
      <c r="F341" s="2"/>
      <c r="G341" t="s">
        <v>2638</v>
      </c>
    </row>
    <row r="342" spans="1:7">
      <c r="A342" t="s">
        <v>3326</v>
      </c>
      <c r="B342" t="s">
        <v>1123</v>
      </c>
      <c r="C342" t="s">
        <v>2651</v>
      </c>
      <c r="D342" t="s">
        <v>3327</v>
      </c>
      <c r="E342" s="2">
        <v>46184</v>
      </c>
      <c r="F342" s="2"/>
      <c r="G342" t="s">
        <v>2638</v>
      </c>
    </row>
    <row r="343" spans="1:7">
      <c r="A343" t="s">
        <v>3328</v>
      </c>
      <c r="B343" t="s">
        <v>1126</v>
      </c>
      <c r="C343" t="s">
        <v>2654</v>
      </c>
      <c r="D343" t="s">
        <v>3329</v>
      </c>
      <c r="E343" s="2">
        <v>46185</v>
      </c>
      <c r="F343" s="2"/>
      <c r="G343" t="s">
        <v>2638</v>
      </c>
    </row>
    <row r="344" spans="1:7">
      <c r="A344" t="s">
        <v>3330</v>
      </c>
      <c r="B344" t="s">
        <v>1129</v>
      </c>
      <c r="C344" t="s">
        <v>2657</v>
      </c>
      <c r="D344" t="s">
        <v>3331</v>
      </c>
      <c r="E344" s="2">
        <v>46186</v>
      </c>
      <c r="F344" s="2">
        <v>46289</v>
      </c>
      <c r="G344" t="s">
        <v>2645</v>
      </c>
    </row>
    <row r="345" spans="1:7">
      <c r="A345" t="s">
        <v>3332</v>
      </c>
      <c r="B345" t="s">
        <v>1132</v>
      </c>
      <c r="C345" t="s">
        <v>2660</v>
      </c>
      <c r="D345" t="s">
        <v>3333</v>
      </c>
      <c r="E345" s="2">
        <v>46187</v>
      </c>
      <c r="F345" s="2">
        <v>46291</v>
      </c>
      <c r="G345" t="s">
        <v>2649</v>
      </c>
    </row>
    <row r="346" spans="1:7">
      <c r="A346" t="s">
        <v>3334</v>
      </c>
      <c r="B346" t="s">
        <v>1135</v>
      </c>
      <c r="C346" t="s">
        <v>2636</v>
      </c>
      <c r="D346" t="s">
        <v>3335</v>
      </c>
      <c r="E346" s="2">
        <v>46188</v>
      </c>
      <c r="F346" s="2"/>
      <c r="G346" t="s">
        <v>2638</v>
      </c>
    </row>
    <row r="347" spans="1:7">
      <c r="A347" t="s">
        <v>3336</v>
      </c>
      <c r="B347" t="s">
        <v>1138</v>
      </c>
      <c r="C347" t="s">
        <v>2640</v>
      </c>
      <c r="D347" t="s">
        <v>3337</v>
      </c>
      <c r="E347" s="2">
        <v>46189</v>
      </c>
      <c r="F347" s="2"/>
      <c r="G347" t="s">
        <v>2638</v>
      </c>
    </row>
    <row r="348" spans="1:7">
      <c r="A348" t="s">
        <v>3338</v>
      </c>
      <c r="B348" t="s">
        <v>1141</v>
      </c>
      <c r="C348" t="s">
        <v>2643</v>
      </c>
      <c r="D348" t="s">
        <v>3339</v>
      </c>
      <c r="E348" s="2">
        <v>46190</v>
      </c>
      <c r="F348" s="2"/>
      <c r="G348" t="s">
        <v>2638</v>
      </c>
    </row>
    <row r="349" spans="1:7">
      <c r="A349" t="s">
        <v>3340</v>
      </c>
      <c r="B349" t="s">
        <v>1144</v>
      </c>
      <c r="C349" t="s">
        <v>2647</v>
      </c>
      <c r="D349" t="s">
        <v>3341</v>
      </c>
      <c r="E349" s="2">
        <v>46191</v>
      </c>
      <c r="F349" s="2">
        <v>46299</v>
      </c>
      <c r="G349" t="s">
        <v>2645</v>
      </c>
    </row>
    <row r="350" spans="1:7">
      <c r="A350" t="s">
        <v>3342</v>
      </c>
      <c r="B350" t="s">
        <v>1147</v>
      </c>
      <c r="C350" t="s">
        <v>2651</v>
      </c>
      <c r="D350" t="s">
        <v>3343</v>
      </c>
      <c r="E350" s="2">
        <v>46192</v>
      </c>
      <c r="F350" s="2">
        <v>46301</v>
      </c>
      <c r="G350" t="s">
        <v>2649</v>
      </c>
    </row>
    <row r="351" spans="1:7">
      <c r="A351" t="s">
        <v>3344</v>
      </c>
      <c r="B351" t="s">
        <v>1150</v>
      </c>
      <c r="C351" t="s">
        <v>2654</v>
      </c>
      <c r="D351" t="s">
        <v>3345</v>
      </c>
      <c r="E351" s="2">
        <v>46193</v>
      </c>
      <c r="F351" s="2"/>
      <c r="G351" t="s">
        <v>2638</v>
      </c>
    </row>
    <row r="352" spans="1:7">
      <c r="A352" t="s">
        <v>3346</v>
      </c>
      <c r="B352" t="s">
        <v>1153</v>
      </c>
      <c r="C352" t="s">
        <v>2657</v>
      </c>
      <c r="D352" t="s">
        <v>3347</v>
      </c>
      <c r="E352" s="2">
        <v>46194</v>
      </c>
      <c r="F352" s="2"/>
      <c r="G352" t="s">
        <v>2638</v>
      </c>
    </row>
    <row r="353" spans="1:7">
      <c r="A353" t="s">
        <v>3348</v>
      </c>
      <c r="B353" t="s">
        <v>1156</v>
      </c>
      <c r="C353" t="s">
        <v>2660</v>
      </c>
      <c r="D353" t="s">
        <v>3349</v>
      </c>
      <c r="E353" s="2">
        <v>46195</v>
      </c>
      <c r="F353" s="2"/>
      <c r="G353" t="s">
        <v>2638</v>
      </c>
    </row>
    <row r="354" spans="1:7">
      <c r="A354" t="s">
        <v>3350</v>
      </c>
      <c r="B354" t="s">
        <v>1159</v>
      </c>
      <c r="C354" t="s">
        <v>2636</v>
      </c>
      <c r="D354" t="s">
        <v>3351</v>
      </c>
      <c r="E354" s="2">
        <v>46196</v>
      </c>
      <c r="F354" s="2">
        <v>46259</v>
      </c>
      <c r="G354" t="s">
        <v>2645</v>
      </c>
    </row>
    <row r="355" spans="1:7">
      <c r="A355" t="s">
        <v>3352</v>
      </c>
      <c r="B355" t="s">
        <v>1162</v>
      </c>
      <c r="C355" t="s">
        <v>2640</v>
      </c>
      <c r="D355" t="s">
        <v>3353</v>
      </c>
      <c r="E355" s="2">
        <v>46197</v>
      </c>
      <c r="F355" s="2">
        <v>46261</v>
      </c>
      <c r="G355" t="s">
        <v>2649</v>
      </c>
    </row>
    <row r="356" spans="1:7">
      <c r="A356" t="s">
        <v>3354</v>
      </c>
      <c r="B356" t="s">
        <v>1165</v>
      </c>
      <c r="C356" t="s">
        <v>2643</v>
      </c>
      <c r="D356" t="s">
        <v>3355</v>
      </c>
      <c r="E356" s="2">
        <v>46198</v>
      </c>
      <c r="F356" s="2"/>
      <c r="G356" t="s">
        <v>2638</v>
      </c>
    </row>
    <row r="357" spans="1:7">
      <c r="A357" t="s">
        <v>3356</v>
      </c>
      <c r="B357" t="s">
        <v>1168</v>
      </c>
      <c r="C357" t="s">
        <v>2647</v>
      </c>
      <c r="D357" t="s">
        <v>3357</v>
      </c>
      <c r="E357" s="2">
        <v>46199</v>
      </c>
      <c r="F357" s="2"/>
      <c r="G357" t="s">
        <v>2638</v>
      </c>
    </row>
    <row r="358" spans="1:7">
      <c r="A358" t="s">
        <v>3358</v>
      </c>
      <c r="B358" t="s">
        <v>1171</v>
      </c>
      <c r="C358" t="s">
        <v>2651</v>
      </c>
      <c r="D358" t="s">
        <v>3359</v>
      </c>
      <c r="E358" s="2">
        <v>46200</v>
      </c>
      <c r="F358" s="2"/>
      <c r="G358" t="s">
        <v>2638</v>
      </c>
    </row>
    <row r="359" spans="1:7">
      <c r="A359" t="s">
        <v>3360</v>
      </c>
      <c r="B359" t="s">
        <v>1174</v>
      </c>
      <c r="C359" t="s">
        <v>2654</v>
      </c>
      <c r="D359" t="s">
        <v>3361</v>
      </c>
      <c r="E359" s="2">
        <v>46201</v>
      </c>
      <c r="F359" s="2">
        <v>46269</v>
      </c>
      <c r="G359" t="s">
        <v>2645</v>
      </c>
    </row>
    <row r="360" spans="1:7">
      <c r="A360" t="s">
        <v>3362</v>
      </c>
      <c r="B360" t="s">
        <v>1177</v>
      </c>
      <c r="C360" t="s">
        <v>2657</v>
      </c>
      <c r="D360" t="s">
        <v>3363</v>
      </c>
      <c r="E360" s="2">
        <v>46202</v>
      </c>
      <c r="F360" s="2">
        <v>46271</v>
      </c>
      <c r="G360" t="s">
        <v>2649</v>
      </c>
    </row>
    <row r="361" spans="1:7">
      <c r="A361" t="s">
        <v>3364</v>
      </c>
      <c r="B361" t="s">
        <v>1180</v>
      </c>
      <c r="C361" t="s">
        <v>2660</v>
      </c>
      <c r="D361" t="s">
        <v>3365</v>
      </c>
      <c r="E361" s="2">
        <v>46023</v>
      </c>
      <c r="F361" s="2"/>
      <c r="G361" t="s">
        <v>2638</v>
      </c>
    </row>
    <row r="362" spans="1:7">
      <c r="A362" t="s">
        <v>3366</v>
      </c>
      <c r="B362" t="s">
        <v>1183</v>
      </c>
      <c r="C362" t="s">
        <v>2636</v>
      </c>
      <c r="D362" t="s">
        <v>3367</v>
      </c>
      <c r="E362" s="2">
        <v>46024</v>
      </c>
      <c r="F362" s="2"/>
      <c r="G362" t="s">
        <v>2638</v>
      </c>
    </row>
    <row r="363" spans="1:7">
      <c r="A363" t="s">
        <v>3368</v>
      </c>
      <c r="B363" t="s">
        <v>1186</v>
      </c>
      <c r="C363" t="s">
        <v>2640</v>
      </c>
      <c r="D363" t="s">
        <v>3369</v>
      </c>
      <c r="E363" s="2">
        <v>46025</v>
      </c>
      <c r="F363" s="2"/>
      <c r="G363" t="s">
        <v>2638</v>
      </c>
    </row>
    <row r="364" spans="1:7">
      <c r="A364" t="s">
        <v>3370</v>
      </c>
      <c r="B364" t="s">
        <v>1189</v>
      </c>
      <c r="C364" t="s">
        <v>2643</v>
      </c>
      <c r="D364" t="s">
        <v>3371</v>
      </c>
      <c r="E364" s="2">
        <v>46026</v>
      </c>
      <c r="F364" s="2">
        <v>46099</v>
      </c>
      <c r="G364" t="s">
        <v>2645</v>
      </c>
    </row>
    <row r="365" spans="1:7">
      <c r="A365" t="s">
        <v>3372</v>
      </c>
      <c r="B365" t="s">
        <v>1192</v>
      </c>
      <c r="C365" t="s">
        <v>2647</v>
      </c>
      <c r="D365" t="s">
        <v>3373</v>
      </c>
      <c r="E365" s="2">
        <v>46027</v>
      </c>
      <c r="F365" s="2">
        <v>46101</v>
      </c>
      <c r="G365" t="s">
        <v>2649</v>
      </c>
    </row>
    <row r="366" spans="1:7">
      <c r="A366" t="s">
        <v>3374</v>
      </c>
      <c r="B366" t="s">
        <v>1195</v>
      </c>
      <c r="C366" t="s">
        <v>2651</v>
      </c>
      <c r="D366" t="s">
        <v>3375</v>
      </c>
      <c r="E366" s="2">
        <v>46028</v>
      </c>
      <c r="F366" s="2"/>
      <c r="G366" t="s">
        <v>2638</v>
      </c>
    </row>
    <row r="367" spans="1:7">
      <c r="A367" t="s">
        <v>3376</v>
      </c>
      <c r="B367" t="s">
        <v>1198</v>
      </c>
      <c r="C367" t="s">
        <v>2654</v>
      </c>
      <c r="D367" t="s">
        <v>3377</v>
      </c>
      <c r="E367" s="2">
        <v>46029</v>
      </c>
      <c r="F367" s="2"/>
      <c r="G367" t="s">
        <v>2638</v>
      </c>
    </row>
    <row r="368" spans="1:7">
      <c r="A368" t="s">
        <v>3378</v>
      </c>
      <c r="B368" t="s">
        <v>1201</v>
      </c>
      <c r="C368" t="s">
        <v>2657</v>
      </c>
      <c r="D368" t="s">
        <v>3379</v>
      </c>
      <c r="E368" s="2">
        <v>46030</v>
      </c>
      <c r="F368" s="2"/>
      <c r="G368" t="s">
        <v>2638</v>
      </c>
    </row>
    <row r="369" spans="1:7">
      <c r="A369" t="s">
        <v>3380</v>
      </c>
      <c r="B369" t="s">
        <v>1204</v>
      </c>
      <c r="C369" t="s">
        <v>2660</v>
      </c>
      <c r="D369" t="s">
        <v>3381</v>
      </c>
      <c r="E369" s="2">
        <v>46031</v>
      </c>
      <c r="F369" s="2">
        <v>46109</v>
      </c>
      <c r="G369" t="s">
        <v>2645</v>
      </c>
    </row>
    <row r="370" spans="1:7">
      <c r="A370" t="s">
        <v>3382</v>
      </c>
      <c r="B370" t="s">
        <v>1207</v>
      </c>
      <c r="C370" t="s">
        <v>2636</v>
      </c>
      <c r="D370" t="s">
        <v>3383</v>
      </c>
      <c r="E370" s="2">
        <v>46032</v>
      </c>
      <c r="F370" s="2">
        <v>46111</v>
      </c>
      <c r="G370" t="s">
        <v>2649</v>
      </c>
    </row>
    <row r="371" spans="1:7">
      <c r="A371" t="s">
        <v>3384</v>
      </c>
      <c r="B371" t="s">
        <v>1210</v>
      </c>
      <c r="C371" t="s">
        <v>2640</v>
      </c>
      <c r="D371" t="s">
        <v>3385</v>
      </c>
      <c r="E371" s="2">
        <v>46033</v>
      </c>
      <c r="F371" s="2"/>
      <c r="G371" t="s">
        <v>2638</v>
      </c>
    </row>
    <row r="372" spans="1:7">
      <c r="A372" t="s">
        <v>3386</v>
      </c>
      <c r="B372" t="s">
        <v>1213</v>
      </c>
      <c r="C372" t="s">
        <v>2643</v>
      </c>
      <c r="D372" t="s">
        <v>3387</v>
      </c>
      <c r="E372" s="2">
        <v>46034</v>
      </c>
      <c r="F372" s="2"/>
      <c r="G372" t="s">
        <v>2638</v>
      </c>
    </row>
    <row r="373" spans="1:7">
      <c r="A373" t="s">
        <v>3388</v>
      </c>
      <c r="B373" t="s">
        <v>1216</v>
      </c>
      <c r="C373" t="s">
        <v>2647</v>
      </c>
      <c r="D373" t="s">
        <v>3389</v>
      </c>
      <c r="E373" s="2">
        <v>46035</v>
      </c>
      <c r="F373" s="2"/>
      <c r="G373" t="s">
        <v>2638</v>
      </c>
    </row>
    <row r="374" spans="1:7">
      <c r="A374" t="s">
        <v>3390</v>
      </c>
      <c r="B374" t="s">
        <v>1219</v>
      </c>
      <c r="C374" t="s">
        <v>2651</v>
      </c>
      <c r="D374" t="s">
        <v>3391</v>
      </c>
      <c r="E374" s="2">
        <v>46036</v>
      </c>
      <c r="F374" s="2">
        <v>46119</v>
      </c>
      <c r="G374" t="s">
        <v>2645</v>
      </c>
    </row>
    <row r="375" spans="1:7">
      <c r="A375" t="s">
        <v>3392</v>
      </c>
      <c r="B375" t="s">
        <v>1222</v>
      </c>
      <c r="C375" t="s">
        <v>2654</v>
      </c>
      <c r="D375" t="s">
        <v>3393</v>
      </c>
      <c r="E375" s="2">
        <v>46037</v>
      </c>
      <c r="F375" s="2">
        <v>46121</v>
      </c>
      <c r="G375" t="s">
        <v>2649</v>
      </c>
    </row>
    <row r="376" spans="1:7">
      <c r="A376" t="s">
        <v>3394</v>
      </c>
      <c r="B376" t="s">
        <v>1225</v>
      </c>
      <c r="C376" t="s">
        <v>2657</v>
      </c>
      <c r="D376" t="s">
        <v>3395</v>
      </c>
      <c r="E376" s="2">
        <v>46038</v>
      </c>
      <c r="F376" s="2"/>
      <c r="G376" t="s">
        <v>2638</v>
      </c>
    </row>
    <row r="377" spans="1:7">
      <c r="A377" t="s">
        <v>3396</v>
      </c>
      <c r="B377" t="s">
        <v>1228</v>
      </c>
      <c r="C377" t="s">
        <v>2660</v>
      </c>
      <c r="D377" t="s">
        <v>3397</v>
      </c>
      <c r="E377" s="2">
        <v>46039</v>
      </c>
      <c r="F377" s="2"/>
      <c r="G377" t="s">
        <v>2638</v>
      </c>
    </row>
    <row r="378" spans="1:7">
      <c r="A378" t="s">
        <v>3398</v>
      </c>
      <c r="B378" t="s">
        <v>1231</v>
      </c>
      <c r="C378" t="s">
        <v>2636</v>
      </c>
      <c r="D378" t="s">
        <v>3399</v>
      </c>
      <c r="E378" s="2">
        <v>46040</v>
      </c>
      <c r="F378" s="2"/>
      <c r="G378" t="s">
        <v>2638</v>
      </c>
    </row>
    <row r="379" spans="1:7">
      <c r="A379" t="s">
        <v>3400</v>
      </c>
      <c r="B379" t="s">
        <v>1234</v>
      </c>
      <c r="C379" t="s">
        <v>2640</v>
      </c>
      <c r="D379" t="s">
        <v>3401</v>
      </c>
      <c r="E379" s="2">
        <v>46041</v>
      </c>
      <c r="F379" s="2">
        <v>46129</v>
      </c>
      <c r="G379" t="s">
        <v>2645</v>
      </c>
    </row>
    <row r="380" spans="1:7">
      <c r="A380" t="s">
        <v>3402</v>
      </c>
      <c r="B380" t="s">
        <v>1237</v>
      </c>
      <c r="C380" t="s">
        <v>2643</v>
      </c>
      <c r="D380" t="s">
        <v>3403</v>
      </c>
      <c r="E380" s="2">
        <v>46042</v>
      </c>
      <c r="F380" s="2">
        <v>46131</v>
      </c>
      <c r="G380" t="s">
        <v>2649</v>
      </c>
    </row>
    <row r="381" spans="1:7">
      <c r="A381" t="s">
        <v>3404</v>
      </c>
      <c r="B381" t="s">
        <v>1240</v>
      </c>
      <c r="C381" t="s">
        <v>2647</v>
      </c>
      <c r="D381" t="s">
        <v>3405</v>
      </c>
      <c r="E381" s="2">
        <v>46043</v>
      </c>
      <c r="F381" s="2"/>
      <c r="G381" t="s">
        <v>2638</v>
      </c>
    </row>
    <row r="382" spans="1:7">
      <c r="A382" t="s">
        <v>3406</v>
      </c>
      <c r="B382" t="s">
        <v>1243</v>
      </c>
      <c r="C382" t="s">
        <v>2651</v>
      </c>
      <c r="D382" t="s">
        <v>3407</v>
      </c>
      <c r="E382" s="2">
        <v>46044</v>
      </c>
      <c r="F382" s="2"/>
      <c r="G382" t="s">
        <v>2638</v>
      </c>
    </row>
    <row r="383" spans="1:7">
      <c r="A383" t="s">
        <v>3408</v>
      </c>
      <c r="B383" t="s">
        <v>1246</v>
      </c>
      <c r="C383" t="s">
        <v>2654</v>
      </c>
      <c r="D383" t="s">
        <v>3409</v>
      </c>
      <c r="E383" s="2">
        <v>46045</v>
      </c>
      <c r="F383" s="2"/>
      <c r="G383" t="s">
        <v>2638</v>
      </c>
    </row>
    <row r="384" spans="1:7">
      <c r="A384" t="s">
        <v>3410</v>
      </c>
      <c r="B384" t="s">
        <v>1249</v>
      </c>
      <c r="C384" t="s">
        <v>2657</v>
      </c>
      <c r="D384" t="s">
        <v>3411</v>
      </c>
      <c r="E384" s="2">
        <v>46046</v>
      </c>
      <c r="F384" s="2">
        <v>46139</v>
      </c>
      <c r="G384" t="s">
        <v>2645</v>
      </c>
    </row>
    <row r="385" spans="1:7">
      <c r="A385" t="s">
        <v>3412</v>
      </c>
      <c r="B385" t="s">
        <v>1252</v>
      </c>
      <c r="C385" t="s">
        <v>2660</v>
      </c>
      <c r="D385" t="s">
        <v>3413</v>
      </c>
      <c r="E385" s="2">
        <v>46047</v>
      </c>
      <c r="F385" s="2">
        <v>46141</v>
      </c>
      <c r="G385" t="s">
        <v>2649</v>
      </c>
    </row>
    <row r="386" spans="1:7">
      <c r="A386" t="s">
        <v>3414</v>
      </c>
      <c r="B386" t="s">
        <v>1255</v>
      </c>
      <c r="C386" t="s">
        <v>2636</v>
      </c>
      <c r="D386" t="s">
        <v>3415</v>
      </c>
      <c r="E386" s="2">
        <v>46048</v>
      </c>
      <c r="F386" s="2"/>
      <c r="G386" t="s">
        <v>2638</v>
      </c>
    </row>
    <row r="387" spans="1:7">
      <c r="A387" t="s">
        <v>3416</v>
      </c>
      <c r="B387" t="s">
        <v>1258</v>
      </c>
      <c r="C387" t="s">
        <v>2640</v>
      </c>
      <c r="D387" t="s">
        <v>3417</v>
      </c>
      <c r="E387" s="2">
        <v>46049</v>
      </c>
      <c r="F387" s="2"/>
      <c r="G387" t="s">
        <v>2638</v>
      </c>
    </row>
    <row r="388" spans="1:7">
      <c r="A388" t="s">
        <v>3418</v>
      </c>
      <c r="B388" t="s">
        <v>1261</v>
      </c>
      <c r="C388" t="s">
        <v>2643</v>
      </c>
      <c r="D388" t="s">
        <v>3419</v>
      </c>
      <c r="E388" s="2">
        <v>46050</v>
      </c>
      <c r="F388" s="2"/>
      <c r="G388" t="s">
        <v>2638</v>
      </c>
    </row>
    <row r="389" spans="1:7">
      <c r="A389" t="s">
        <v>3420</v>
      </c>
      <c r="B389" t="s">
        <v>1264</v>
      </c>
      <c r="C389" t="s">
        <v>2647</v>
      </c>
      <c r="D389" t="s">
        <v>3421</v>
      </c>
      <c r="E389" s="2">
        <v>46051</v>
      </c>
      <c r="F389" s="2">
        <v>46149</v>
      </c>
      <c r="G389" t="s">
        <v>2645</v>
      </c>
    </row>
    <row r="390" spans="1:7">
      <c r="A390" t="s">
        <v>3422</v>
      </c>
      <c r="B390" t="s">
        <v>1267</v>
      </c>
      <c r="C390" t="s">
        <v>2651</v>
      </c>
      <c r="D390" t="s">
        <v>3423</v>
      </c>
      <c r="E390" s="2">
        <v>46052</v>
      </c>
      <c r="F390" s="2">
        <v>46151</v>
      </c>
      <c r="G390" t="s">
        <v>2649</v>
      </c>
    </row>
    <row r="391" spans="1:7">
      <c r="A391" t="s">
        <v>3424</v>
      </c>
      <c r="B391" t="s">
        <v>1270</v>
      </c>
      <c r="C391" t="s">
        <v>2654</v>
      </c>
      <c r="D391" t="s">
        <v>3425</v>
      </c>
      <c r="E391" s="2">
        <v>46053</v>
      </c>
      <c r="F391" s="2"/>
      <c r="G391" t="s">
        <v>2638</v>
      </c>
    </row>
    <row r="392" spans="1:7">
      <c r="A392" t="s">
        <v>3426</v>
      </c>
      <c r="B392" t="s">
        <v>1273</v>
      </c>
      <c r="C392" t="s">
        <v>2657</v>
      </c>
      <c r="D392" t="s">
        <v>3427</v>
      </c>
      <c r="E392" s="2">
        <v>46054</v>
      </c>
      <c r="F392" s="2"/>
      <c r="G392" t="s">
        <v>2638</v>
      </c>
    </row>
    <row r="393" spans="1:7">
      <c r="A393" t="s">
        <v>3428</v>
      </c>
      <c r="B393" t="s">
        <v>1276</v>
      </c>
      <c r="C393" t="s">
        <v>2660</v>
      </c>
      <c r="D393" t="s">
        <v>3429</v>
      </c>
      <c r="E393" s="2">
        <v>46055</v>
      </c>
      <c r="F393" s="2"/>
      <c r="G393" t="s">
        <v>2638</v>
      </c>
    </row>
    <row r="394" spans="1:7">
      <c r="A394" t="s">
        <v>3430</v>
      </c>
      <c r="B394" t="s">
        <v>1279</v>
      </c>
      <c r="C394" t="s">
        <v>2636</v>
      </c>
      <c r="D394" t="s">
        <v>3431</v>
      </c>
      <c r="E394" s="2">
        <v>46056</v>
      </c>
      <c r="F394" s="2">
        <v>46159</v>
      </c>
      <c r="G394" t="s">
        <v>2645</v>
      </c>
    </row>
    <row r="395" spans="1:7">
      <c r="A395" t="s">
        <v>3432</v>
      </c>
      <c r="B395" t="s">
        <v>1282</v>
      </c>
      <c r="C395" t="s">
        <v>2640</v>
      </c>
      <c r="D395" t="s">
        <v>3433</v>
      </c>
      <c r="E395" s="2">
        <v>46057</v>
      </c>
      <c r="F395" s="2">
        <v>46161</v>
      </c>
      <c r="G395" t="s">
        <v>2649</v>
      </c>
    </row>
    <row r="396" spans="1:7">
      <c r="A396" t="s">
        <v>3434</v>
      </c>
      <c r="B396" t="s">
        <v>1285</v>
      </c>
      <c r="C396" t="s">
        <v>2643</v>
      </c>
      <c r="D396" t="s">
        <v>3435</v>
      </c>
      <c r="E396" s="2">
        <v>46058</v>
      </c>
      <c r="F396" s="2"/>
      <c r="G396" t="s">
        <v>2638</v>
      </c>
    </row>
    <row r="397" spans="1:7">
      <c r="A397" t="s">
        <v>3436</v>
      </c>
      <c r="B397" t="s">
        <v>1288</v>
      </c>
      <c r="C397" t="s">
        <v>2647</v>
      </c>
      <c r="D397" t="s">
        <v>3437</v>
      </c>
      <c r="E397" s="2">
        <v>46059</v>
      </c>
      <c r="F397" s="2"/>
      <c r="G397" t="s">
        <v>2638</v>
      </c>
    </row>
    <row r="398" spans="1:7">
      <c r="A398" t="s">
        <v>3438</v>
      </c>
      <c r="B398" t="s">
        <v>1291</v>
      </c>
      <c r="C398" t="s">
        <v>2651</v>
      </c>
      <c r="D398" t="s">
        <v>3439</v>
      </c>
      <c r="E398" s="2">
        <v>46060</v>
      </c>
      <c r="F398" s="2"/>
      <c r="G398" t="s">
        <v>2638</v>
      </c>
    </row>
    <row r="399" spans="1:7">
      <c r="A399" t="s">
        <v>3440</v>
      </c>
      <c r="B399" t="s">
        <v>1294</v>
      </c>
      <c r="C399" t="s">
        <v>2654</v>
      </c>
      <c r="D399" t="s">
        <v>3441</v>
      </c>
      <c r="E399" s="2">
        <v>46061</v>
      </c>
      <c r="F399" s="2">
        <v>46169</v>
      </c>
      <c r="G399" t="s">
        <v>2645</v>
      </c>
    </row>
    <row r="400" spans="1:7">
      <c r="A400" t="s">
        <v>3442</v>
      </c>
      <c r="B400" t="s">
        <v>1297</v>
      </c>
      <c r="C400" t="s">
        <v>2657</v>
      </c>
      <c r="D400" t="s">
        <v>3443</v>
      </c>
      <c r="E400" s="2">
        <v>46062</v>
      </c>
      <c r="F400" s="2">
        <v>46171</v>
      </c>
      <c r="G400" t="s">
        <v>2649</v>
      </c>
    </row>
    <row r="401" spans="1:7">
      <c r="A401" t="s">
        <v>3444</v>
      </c>
      <c r="B401" t="s">
        <v>1300</v>
      </c>
      <c r="C401" t="s">
        <v>2660</v>
      </c>
      <c r="D401" t="s">
        <v>3445</v>
      </c>
      <c r="E401" s="2">
        <v>46063</v>
      </c>
      <c r="F401" s="2"/>
      <c r="G401" t="s">
        <v>2638</v>
      </c>
    </row>
    <row r="402" spans="1:7">
      <c r="A402" t="s">
        <v>3446</v>
      </c>
      <c r="B402" t="s">
        <v>1303</v>
      </c>
      <c r="C402" t="s">
        <v>2636</v>
      </c>
      <c r="D402" t="s">
        <v>3447</v>
      </c>
      <c r="E402" s="2">
        <v>46064</v>
      </c>
      <c r="F402" s="2"/>
      <c r="G402" t="s">
        <v>2638</v>
      </c>
    </row>
    <row r="403" spans="1:7">
      <c r="A403" t="s">
        <v>3448</v>
      </c>
      <c r="B403" t="s">
        <v>1306</v>
      </c>
      <c r="C403" t="s">
        <v>2640</v>
      </c>
      <c r="D403" t="s">
        <v>3449</v>
      </c>
      <c r="E403" s="2">
        <v>46065</v>
      </c>
      <c r="F403" s="2"/>
      <c r="G403" t="s">
        <v>2638</v>
      </c>
    </row>
    <row r="404" spans="1:7">
      <c r="A404" t="s">
        <v>3450</v>
      </c>
      <c r="B404" t="s">
        <v>1309</v>
      </c>
      <c r="C404" t="s">
        <v>2643</v>
      </c>
      <c r="D404" t="s">
        <v>3451</v>
      </c>
      <c r="E404" s="2">
        <v>46066</v>
      </c>
      <c r="F404" s="2">
        <v>46129</v>
      </c>
      <c r="G404" t="s">
        <v>2645</v>
      </c>
    </row>
    <row r="405" spans="1:7">
      <c r="A405" t="s">
        <v>3452</v>
      </c>
      <c r="B405" t="s">
        <v>1312</v>
      </c>
      <c r="C405" t="s">
        <v>2647</v>
      </c>
      <c r="D405" t="s">
        <v>3453</v>
      </c>
      <c r="E405" s="2">
        <v>46067</v>
      </c>
      <c r="F405" s="2">
        <v>46131</v>
      </c>
      <c r="G405" t="s">
        <v>2649</v>
      </c>
    </row>
    <row r="406" spans="1:7">
      <c r="A406" t="s">
        <v>3454</v>
      </c>
      <c r="B406" t="s">
        <v>1315</v>
      </c>
      <c r="C406" t="s">
        <v>2651</v>
      </c>
      <c r="D406" t="s">
        <v>3455</v>
      </c>
      <c r="E406" s="2">
        <v>46068</v>
      </c>
      <c r="F406" s="2"/>
      <c r="G406" t="s">
        <v>2638</v>
      </c>
    </row>
    <row r="407" spans="1:7">
      <c r="A407" t="s">
        <v>3456</v>
      </c>
      <c r="B407" t="s">
        <v>1318</v>
      </c>
      <c r="C407" t="s">
        <v>2654</v>
      </c>
      <c r="D407" t="s">
        <v>3457</v>
      </c>
      <c r="E407" s="2">
        <v>46069</v>
      </c>
      <c r="F407" s="2"/>
      <c r="G407" t="s">
        <v>2638</v>
      </c>
    </row>
    <row r="408" spans="1:7">
      <c r="A408" t="s">
        <v>3458</v>
      </c>
      <c r="B408" t="s">
        <v>1321</v>
      </c>
      <c r="C408" t="s">
        <v>2657</v>
      </c>
      <c r="D408" t="s">
        <v>3459</v>
      </c>
      <c r="E408" s="2">
        <v>46070</v>
      </c>
      <c r="F408" s="2"/>
      <c r="G408" t="s">
        <v>2638</v>
      </c>
    </row>
    <row r="409" spans="1:7">
      <c r="A409" t="s">
        <v>3460</v>
      </c>
      <c r="B409" t="s">
        <v>1324</v>
      </c>
      <c r="C409" t="s">
        <v>2660</v>
      </c>
      <c r="D409" t="s">
        <v>3461</v>
      </c>
      <c r="E409" s="2">
        <v>46071</v>
      </c>
      <c r="F409" s="2">
        <v>46139</v>
      </c>
      <c r="G409" t="s">
        <v>2645</v>
      </c>
    </row>
    <row r="410" spans="1:7">
      <c r="A410" t="s">
        <v>3462</v>
      </c>
      <c r="B410" t="s">
        <v>1327</v>
      </c>
      <c r="C410" t="s">
        <v>2636</v>
      </c>
      <c r="D410" t="s">
        <v>3463</v>
      </c>
      <c r="E410" s="2">
        <v>46072</v>
      </c>
      <c r="F410" s="2">
        <v>46141</v>
      </c>
      <c r="G410" t="s">
        <v>2649</v>
      </c>
    </row>
    <row r="411" spans="1:7">
      <c r="A411" t="s">
        <v>3464</v>
      </c>
      <c r="B411" t="s">
        <v>1330</v>
      </c>
      <c r="C411" t="s">
        <v>2640</v>
      </c>
      <c r="D411" t="s">
        <v>3465</v>
      </c>
      <c r="E411" s="2">
        <v>46073</v>
      </c>
      <c r="F411" s="2"/>
      <c r="G411" t="s">
        <v>2638</v>
      </c>
    </row>
    <row r="412" spans="1:7">
      <c r="A412" t="s">
        <v>3466</v>
      </c>
      <c r="B412" t="s">
        <v>1333</v>
      </c>
      <c r="C412" t="s">
        <v>2643</v>
      </c>
      <c r="D412" t="s">
        <v>3467</v>
      </c>
      <c r="E412" s="2">
        <v>46074</v>
      </c>
      <c r="F412" s="2"/>
      <c r="G412" t="s">
        <v>2638</v>
      </c>
    </row>
    <row r="413" spans="1:7">
      <c r="A413" t="s">
        <v>3468</v>
      </c>
      <c r="B413" t="s">
        <v>1336</v>
      </c>
      <c r="C413" t="s">
        <v>2647</v>
      </c>
      <c r="D413" t="s">
        <v>3469</v>
      </c>
      <c r="E413" s="2">
        <v>46075</v>
      </c>
      <c r="F413" s="2"/>
      <c r="G413" t="s">
        <v>2638</v>
      </c>
    </row>
    <row r="414" spans="1:7">
      <c r="A414" t="s">
        <v>3470</v>
      </c>
      <c r="B414" t="s">
        <v>1339</v>
      </c>
      <c r="C414" t="s">
        <v>2651</v>
      </c>
      <c r="D414" t="s">
        <v>3471</v>
      </c>
      <c r="E414" s="2">
        <v>46076</v>
      </c>
      <c r="F414" s="2">
        <v>46149</v>
      </c>
      <c r="G414" t="s">
        <v>2645</v>
      </c>
    </row>
    <row r="415" spans="1:7">
      <c r="A415" t="s">
        <v>3472</v>
      </c>
      <c r="B415" t="s">
        <v>1342</v>
      </c>
      <c r="C415" t="s">
        <v>2654</v>
      </c>
      <c r="D415" t="s">
        <v>3473</v>
      </c>
      <c r="E415" s="2">
        <v>46077</v>
      </c>
      <c r="F415" s="2">
        <v>46151</v>
      </c>
      <c r="G415" t="s">
        <v>2649</v>
      </c>
    </row>
    <row r="416" spans="1:7">
      <c r="A416" t="s">
        <v>3474</v>
      </c>
      <c r="B416" t="s">
        <v>1345</v>
      </c>
      <c r="C416" t="s">
        <v>2657</v>
      </c>
      <c r="D416" t="s">
        <v>3475</v>
      </c>
      <c r="E416" s="2">
        <v>46078</v>
      </c>
      <c r="F416" s="2"/>
      <c r="G416" t="s">
        <v>2638</v>
      </c>
    </row>
    <row r="417" spans="1:7">
      <c r="A417" t="s">
        <v>3476</v>
      </c>
      <c r="B417" t="s">
        <v>1348</v>
      </c>
      <c r="C417" t="s">
        <v>2660</v>
      </c>
      <c r="D417" t="s">
        <v>3477</v>
      </c>
      <c r="E417" s="2">
        <v>46079</v>
      </c>
      <c r="F417" s="2"/>
      <c r="G417" t="s">
        <v>2638</v>
      </c>
    </row>
    <row r="418" spans="1:7">
      <c r="A418" t="s">
        <v>3478</v>
      </c>
      <c r="B418" t="s">
        <v>1351</v>
      </c>
      <c r="C418" t="s">
        <v>2636</v>
      </c>
      <c r="D418" t="s">
        <v>3479</v>
      </c>
      <c r="E418" s="2">
        <v>46080</v>
      </c>
      <c r="F418" s="2"/>
      <c r="G418" t="s">
        <v>2638</v>
      </c>
    </row>
    <row r="419" spans="1:7">
      <c r="A419" t="s">
        <v>3480</v>
      </c>
      <c r="B419" t="s">
        <v>1354</v>
      </c>
      <c r="C419" t="s">
        <v>2640</v>
      </c>
      <c r="D419" t="s">
        <v>3481</v>
      </c>
      <c r="E419" s="2">
        <v>46081</v>
      </c>
      <c r="F419" s="2">
        <v>46159</v>
      </c>
      <c r="G419" t="s">
        <v>2645</v>
      </c>
    </row>
    <row r="420" spans="1:7">
      <c r="A420" t="s">
        <v>3482</v>
      </c>
      <c r="B420" t="s">
        <v>1357</v>
      </c>
      <c r="C420" t="s">
        <v>2643</v>
      </c>
      <c r="D420" t="s">
        <v>3483</v>
      </c>
      <c r="E420" s="2">
        <v>46082</v>
      </c>
      <c r="F420" s="2">
        <v>46161</v>
      </c>
      <c r="G420" t="s">
        <v>2649</v>
      </c>
    </row>
    <row r="421" spans="1:7">
      <c r="A421" t="s">
        <v>3484</v>
      </c>
      <c r="B421" t="s">
        <v>1360</v>
      </c>
      <c r="C421" t="s">
        <v>2647</v>
      </c>
      <c r="D421" t="s">
        <v>3485</v>
      </c>
      <c r="E421" s="2">
        <v>46083</v>
      </c>
      <c r="F421" s="2"/>
      <c r="G421" t="s">
        <v>2638</v>
      </c>
    </row>
    <row r="422" spans="1:7">
      <c r="A422" t="s">
        <v>3486</v>
      </c>
      <c r="B422" t="s">
        <v>1363</v>
      </c>
      <c r="C422" t="s">
        <v>2651</v>
      </c>
      <c r="D422" t="s">
        <v>3487</v>
      </c>
      <c r="E422" s="2">
        <v>46084</v>
      </c>
      <c r="F422" s="2"/>
      <c r="G422" t="s">
        <v>2638</v>
      </c>
    </row>
    <row r="423" spans="1:7">
      <c r="A423" t="s">
        <v>3488</v>
      </c>
      <c r="B423" t="s">
        <v>1366</v>
      </c>
      <c r="C423" t="s">
        <v>2654</v>
      </c>
      <c r="D423" t="s">
        <v>3489</v>
      </c>
      <c r="E423" s="2">
        <v>46085</v>
      </c>
      <c r="F423" s="2"/>
      <c r="G423" t="s">
        <v>2638</v>
      </c>
    </row>
    <row r="424" spans="1:7">
      <c r="A424" t="s">
        <v>3490</v>
      </c>
      <c r="B424" t="s">
        <v>1369</v>
      </c>
      <c r="C424" t="s">
        <v>2657</v>
      </c>
      <c r="D424" t="s">
        <v>3491</v>
      </c>
      <c r="E424" s="2">
        <v>46086</v>
      </c>
      <c r="F424" s="2">
        <v>46169</v>
      </c>
      <c r="G424" t="s">
        <v>2645</v>
      </c>
    </row>
    <row r="425" spans="1:7">
      <c r="A425" t="s">
        <v>3492</v>
      </c>
      <c r="B425" t="s">
        <v>1372</v>
      </c>
      <c r="C425" t="s">
        <v>2660</v>
      </c>
      <c r="D425" t="s">
        <v>3493</v>
      </c>
      <c r="E425" s="2">
        <v>46087</v>
      </c>
      <c r="F425" s="2">
        <v>46171</v>
      </c>
      <c r="G425" t="s">
        <v>2649</v>
      </c>
    </row>
    <row r="426" spans="1:7">
      <c r="A426" t="s">
        <v>3494</v>
      </c>
      <c r="B426" t="s">
        <v>1375</v>
      </c>
      <c r="C426" t="s">
        <v>2636</v>
      </c>
      <c r="D426" t="s">
        <v>3495</v>
      </c>
      <c r="E426" s="2">
        <v>46088</v>
      </c>
      <c r="F426" s="2"/>
      <c r="G426" t="s">
        <v>2638</v>
      </c>
    </row>
    <row r="427" spans="1:7">
      <c r="A427" t="s">
        <v>3496</v>
      </c>
      <c r="B427" t="s">
        <v>1378</v>
      </c>
      <c r="C427" t="s">
        <v>2640</v>
      </c>
      <c r="D427" t="s">
        <v>3497</v>
      </c>
      <c r="E427" s="2">
        <v>46089</v>
      </c>
      <c r="F427" s="2"/>
      <c r="G427" t="s">
        <v>2638</v>
      </c>
    </row>
    <row r="428" spans="1:7">
      <c r="A428" t="s">
        <v>3498</v>
      </c>
      <c r="B428" t="s">
        <v>1381</v>
      </c>
      <c r="C428" t="s">
        <v>2643</v>
      </c>
      <c r="D428" t="s">
        <v>3499</v>
      </c>
      <c r="E428" s="2">
        <v>46090</v>
      </c>
      <c r="F428" s="2"/>
      <c r="G428" t="s">
        <v>2638</v>
      </c>
    </row>
    <row r="429" spans="1:7">
      <c r="A429" t="s">
        <v>3500</v>
      </c>
      <c r="B429" t="s">
        <v>1384</v>
      </c>
      <c r="C429" t="s">
        <v>2647</v>
      </c>
      <c r="D429" t="s">
        <v>3501</v>
      </c>
      <c r="E429" s="2">
        <v>46091</v>
      </c>
      <c r="F429" s="2">
        <v>46179</v>
      </c>
      <c r="G429" t="s">
        <v>2645</v>
      </c>
    </row>
    <row r="430" spans="1:7">
      <c r="A430" t="s">
        <v>3502</v>
      </c>
      <c r="B430" t="s">
        <v>1387</v>
      </c>
      <c r="C430" t="s">
        <v>2651</v>
      </c>
      <c r="D430" t="s">
        <v>3503</v>
      </c>
      <c r="E430" s="2">
        <v>46092</v>
      </c>
      <c r="F430" s="2">
        <v>46181</v>
      </c>
      <c r="G430" t="s">
        <v>2649</v>
      </c>
    </row>
    <row r="431" spans="1:7">
      <c r="A431" t="s">
        <v>3504</v>
      </c>
      <c r="B431" t="s">
        <v>1390</v>
      </c>
      <c r="C431" t="s">
        <v>2654</v>
      </c>
      <c r="D431" t="s">
        <v>3505</v>
      </c>
      <c r="E431" s="2">
        <v>46093</v>
      </c>
      <c r="F431" s="2"/>
      <c r="G431" t="s">
        <v>2638</v>
      </c>
    </row>
    <row r="432" spans="1:7">
      <c r="A432" t="s">
        <v>3506</v>
      </c>
      <c r="B432" t="s">
        <v>1393</v>
      </c>
      <c r="C432" t="s">
        <v>2657</v>
      </c>
      <c r="D432" t="s">
        <v>3507</v>
      </c>
      <c r="E432" s="2">
        <v>46094</v>
      </c>
      <c r="F432" s="2"/>
      <c r="G432" t="s">
        <v>2638</v>
      </c>
    </row>
    <row r="433" spans="1:7">
      <c r="A433" t="s">
        <v>3508</v>
      </c>
      <c r="B433" t="s">
        <v>1396</v>
      </c>
      <c r="C433" t="s">
        <v>2660</v>
      </c>
      <c r="D433" t="s">
        <v>3509</v>
      </c>
      <c r="E433" s="2">
        <v>46095</v>
      </c>
      <c r="F433" s="2"/>
      <c r="G433" t="s">
        <v>2638</v>
      </c>
    </row>
    <row r="434" spans="1:7">
      <c r="A434" t="s">
        <v>3510</v>
      </c>
      <c r="B434" t="s">
        <v>1399</v>
      </c>
      <c r="C434" t="s">
        <v>2636</v>
      </c>
      <c r="D434" t="s">
        <v>3511</v>
      </c>
      <c r="E434" s="2">
        <v>46096</v>
      </c>
      <c r="F434" s="2">
        <v>46189</v>
      </c>
      <c r="G434" t="s">
        <v>2645</v>
      </c>
    </row>
    <row r="435" spans="1:7">
      <c r="A435" t="s">
        <v>3512</v>
      </c>
      <c r="B435" t="s">
        <v>1402</v>
      </c>
      <c r="C435" t="s">
        <v>2640</v>
      </c>
      <c r="D435" t="s">
        <v>3513</v>
      </c>
      <c r="E435" s="2">
        <v>46097</v>
      </c>
      <c r="F435" s="2">
        <v>46191</v>
      </c>
      <c r="G435" t="s">
        <v>2649</v>
      </c>
    </row>
    <row r="436" spans="1:7">
      <c r="A436" t="s">
        <v>3514</v>
      </c>
      <c r="B436" t="s">
        <v>1405</v>
      </c>
      <c r="C436" t="s">
        <v>2643</v>
      </c>
      <c r="D436" t="s">
        <v>3515</v>
      </c>
      <c r="E436" s="2">
        <v>46098</v>
      </c>
      <c r="F436" s="2"/>
      <c r="G436" t="s">
        <v>2638</v>
      </c>
    </row>
    <row r="437" spans="1:7">
      <c r="A437" t="s">
        <v>3516</v>
      </c>
      <c r="B437" t="s">
        <v>1408</v>
      </c>
      <c r="C437" t="s">
        <v>2647</v>
      </c>
      <c r="D437" t="s">
        <v>3517</v>
      </c>
      <c r="E437" s="2">
        <v>46099</v>
      </c>
      <c r="F437" s="2"/>
      <c r="G437" t="s">
        <v>2638</v>
      </c>
    </row>
    <row r="438" spans="1:7">
      <c r="A438" t="s">
        <v>3518</v>
      </c>
      <c r="B438" t="s">
        <v>1411</v>
      </c>
      <c r="C438" t="s">
        <v>2651</v>
      </c>
      <c r="D438" t="s">
        <v>3519</v>
      </c>
      <c r="E438" s="2">
        <v>46100</v>
      </c>
      <c r="F438" s="2"/>
      <c r="G438" t="s">
        <v>2638</v>
      </c>
    </row>
    <row r="439" spans="1:7">
      <c r="A439" t="s">
        <v>3520</v>
      </c>
      <c r="B439" t="s">
        <v>1414</v>
      </c>
      <c r="C439" t="s">
        <v>2654</v>
      </c>
      <c r="D439" t="s">
        <v>3521</v>
      </c>
      <c r="E439" s="2">
        <v>46101</v>
      </c>
      <c r="F439" s="2">
        <v>46199</v>
      </c>
      <c r="G439" t="s">
        <v>2645</v>
      </c>
    </row>
    <row r="440" spans="1:7">
      <c r="A440" t="s">
        <v>3522</v>
      </c>
      <c r="B440" t="s">
        <v>1417</v>
      </c>
      <c r="C440" t="s">
        <v>2657</v>
      </c>
      <c r="D440" t="s">
        <v>3523</v>
      </c>
      <c r="E440" s="2">
        <v>46102</v>
      </c>
      <c r="F440" s="2">
        <v>46201</v>
      </c>
      <c r="G440" t="s">
        <v>2649</v>
      </c>
    </row>
    <row r="441" spans="1:7">
      <c r="A441" t="s">
        <v>3524</v>
      </c>
      <c r="B441" t="s">
        <v>1420</v>
      </c>
      <c r="C441" t="s">
        <v>2660</v>
      </c>
      <c r="D441" t="s">
        <v>3525</v>
      </c>
      <c r="E441" s="2">
        <v>46103</v>
      </c>
      <c r="F441" s="2"/>
      <c r="G441" t="s">
        <v>2638</v>
      </c>
    </row>
    <row r="442" spans="1:7">
      <c r="A442" t="s">
        <v>3526</v>
      </c>
      <c r="B442" t="s">
        <v>1423</v>
      </c>
      <c r="C442" t="s">
        <v>2636</v>
      </c>
      <c r="D442" t="s">
        <v>3527</v>
      </c>
      <c r="E442" s="2">
        <v>46104</v>
      </c>
      <c r="F442" s="2"/>
      <c r="G442" t="s">
        <v>2638</v>
      </c>
    </row>
    <row r="443" spans="1:7">
      <c r="A443" t="s">
        <v>3528</v>
      </c>
      <c r="B443" t="s">
        <v>1426</v>
      </c>
      <c r="C443" t="s">
        <v>2640</v>
      </c>
      <c r="D443" t="s">
        <v>3529</v>
      </c>
      <c r="E443" s="2">
        <v>46105</v>
      </c>
      <c r="F443" s="2"/>
      <c r="G443" t="s">
        <v>2638</v>
      </c>
    </row>
    <row r="444" spans="1:7">
      <c r="A444" t="s">
        <v>3530</v>
      </c>
      <c r="B444" t="s">
        <v>1429</v>
      </c>
      <c r="C444" t="s">
        <v>2643</v>
      </c>
      <c r="D444" t="s">
        <v>3531</v>
      </c>
      <c r="E444" s="2">
        <v>46106</v>
      </c>
      <c r="F444" s="2">
        <v>46209</v>
      </c>
      <c r="G444" t="s">
        <v>2645</v>
      </c>
    </row>
    <row r="445" spans="1:7">
      <c r="A445" t="s">
        <v>3532</v>
      </c>
      <c r="B445" t="s">
        <v>1432</v>
      </c>
      <c r="C445" t="s">
        <v>2647</v>
      </c>
      <c r="D445" t="s">
        <v>3533</v>
      </c>
      <c r="E445" s="2">
        <v>46107</v>
      </c>
      <c r="F445" s="2">
        <v>46211</v>
      </c>
      <c r="G445" t="s">
        <v>2649</v>
      </c>
    </row>
    <row r="446" spans="1:7">
      <c r="A446" t="s">
        <v>3534</v>
      </c>
      <c r="B446" t="s">
        <v>1435</v>
      </c>
      <c r="C446" t="s">
        <v>2651</v>
      </c>
      <c r="D446" t="s">
        <v>3535</v>
      </c>
      <c r="E446" s="2">
        <v>46108</v>
      </c>
      <c r="F446" s="2"/>
      <c r="G446" t="s">
        <v>2638</v>
      </c>
    </row>
    <row r="447" spans="1:7">
      <c r="A447" t="s">
        <v>3536</v>
      </c>
      <c r="B447" t="s">
        <v>1438</v>
      </c>
      <c r="C447" t="s">
        <v>2654</v>
      </c>
      <c r="D447" t="s">
        <v>3537</v>
      </c>
      <c r="E447" s="2">
        <v>46109</v>
      </c>
      <c r="F447" s="2"/>
      <c r="G447" t="s">
        <v>2638</v>
      </c>
    </row>
    <row r="448" spans="1:7">
      <c r="A448" t="s">
        <v>3538</v>
      </c>
      <c r="B448" t="s">
        <v>1441</v>
      </c>
      <c r="C448" t="s">
        <v>2657</v>
      </c>
      <c r="D448" t="s">
        <v>3539</v>
      </c>
      <c r="E448" s="2">
        <v>46110</v>
      </c>
      <c r="F448" s="2"/>
      <c r="G448" t="s">
        <v>2638</v>
      </c>
    </row>
    <row r="449" spans="1:7">
      <c r="A449" t="s">
        <v>3540</v>
      </c>
      <c r="B449" t="s">
        <v>1444</v>
      </c>
      <c r="C449" t="s">
        <v>2660</v>
      </c>
      <c r="D449" t="s">
        <v>3541</v>
      </c>
      <c r="E449" s="2">
        <v>46111</v>
      </c>
      <c r="F449" s="2">
        <v>46219</v>
      </c>
      <c r="G449" t="s">
        <v>2645</v>
      </c>
    </row>
    <row r="450" spans="1:7">
      <c r="A450" t="s">
        <v>3542</v>
      </c>
      <c r="B450" t="s">
        <v>1447</v>
      </c>
      <c r="C450" t="s">
        <v>2636</v>
      </c>
      <c r="D450" t="s">
        <v>3543</v>
      </c>
      <c r="E450" s="2">
        <v>46112</v>
      </c>
      <c r="F450" s="2">
        <v>46221</v>
      </c>
      <c r="G450" t="s">
        <v>2649</v>
      </c>
    </row>
    <row r="451" spans="1:7">
      <c r="A451" t="s">
        <v>3544</v>
      </c>
      <c r="B451" t="s">
        <v>1450</v>
      </c>
      <c r="C451" t="s">
        <v>2640</v>
      </c>
      <c r="D451" t="s">
        <v>3545</v>
      </c>
      <c r="E451" s="2">
        <v>46113</v>
      </c>
      <c r="F451" s="2"/>
      <c r="G451" t="s">
        <v>2638</v>
      </c>
    </row>
    <row r="452" spans="1:7">
      <c r="A452" t="s">
        <v>3546</v>
      </c>
      <c r="B452" t="s">
        <v>1453</v>
      </c>
      <c r="C452" t="s">
        <v>2643</v>
      </c>
      <c r="D452" t="s">
        <v>3547</v>
      </c>
      <c r="E452" s="2">
        <v>46114</v>
      </c>
      <c r="F452" s="2"/>
      <c r="G452" t="s">
        <v>2638</v>
      </c>
    </row>
    <row r="453" spans="1:7">
      <c r="A453" t="s">
        <v>3548</v>
      </c>
      <c r="B453" t="s">
        <v>1456</v>
      </c>
      <c r="C453" t="s">
        <v>2647</v>
      </c>
      <c r="D453" t="s">
        <v>3549</v>
      </c>
      <c r="E453" s="2">
        <v>46115</v>
      </c>
      <c r="F453" s="2"/>
      <c r="G453" t="s">
        <v>2638</v>
      </c>
    </row>
    <row r="454" spans="1:7">
      <c r="A454" t="s">
        <v>3550</v>
      </c>
      <c r="B454" t="s">
        <v>1459</v>
      </c>
      <c r="C454" t="s">
        <v>2651</v>
      </c>
      <c r="D454" t="s">
        <v>3551</v>
      </c>
      <c r="E454" s="2">
        <v>46116</v>
      </c>
      <c r="F454" s="2">
        <v>46179</v>
      </c>
      <c r="G454" t="s">
        <v>2645</v>
      </c>
    </row>
    <row r="455" spans="1:7">
      <c r="A455" t="s">
        <v>3552</v>
      </c>
      <c r="B455" t="s">
        <v>1462</v>
      </c>
      <c r="C455" t="s">
        <v>2654</v>
      </c>
      <c r="D455" t="s">
        <v>3553</v>
      </c>
      <c r="E455" s="2">
        <v>46117</v>
      </c>
      <c r="F455" s="2">
        <v>46181</v>
      </c>
      <c r="G455" t="s">
        <v>2649</v>
      </c>
    </row>
    <row r="456" spans="1:7">
      <c r="A456" t="s">
        <v>3554</v>
      </c>
      <c r="B456" t="s">
        <v>1465</v>
      </c>
      <c r="C456" t="s">
        <v>2657</v>
      </c>
      <c r="D456" t="s">
        <v>3555</v>
      </c>
      <c r="E456" s="2">
        <v>46118</v>
      </c>
      <c r="F456" s="2"/>
      <c r="G456" t="s">
        <v>2638</v>
      </c>
    </row>
    <row r="457" spans="1:7">
      <c r="A457" t="s">
        <v>3556</v>
      </c>
      <c r="B457" t="s">
        <v>1468</v>
      </c>
      <c r="C457" t="s">
        <v>2660</v>
      </c>
      <c r="D457" t="s">
        <v>3557</v>
      </c>
      <c r="E457" s="2">
        <v>46119</v>
      </c>
      <c r="F457" s="2"/>
      <c r="G457" t="s">
        <v>2638</v>
      </c>
    </row>
    <row r="458" spans="1:7">
      <c r="A458" t="s">
        <v>3558</v>
      </c>
      <c r="B458" t="s">
        <v>1471</v>
      </c>
      <c r="C458" t="s">
        <v>2636</v>
      </c>
      <c r="D458" t="s">
        <v>3559</v>
      </c>
      <c r="E458" s="2">
        <v>46120</v>
      </c>
      <c r="F458" s="2"/>
      <c r="G458" t="s">
        <v>2638</v>
      </c>
    </row>
    <row r="459" spans="1:7">
      <c r="A459" t="s">
        <v>3560</v>
      </c>
      <c r="B459" t="s">
        <v>1474</v>
      </c>
      <c r="C459" t="s">
        <v>2640</v>
      </c>
      <c r="D459" t="s">
        <v>3561</v>
      </c>
      <c r="E459" s="2">
        <v>46121</v>
      </c>
      <c r="F459" s="2">
        <v>46189</v>
      </c>
      <c r="G459" t="s">
        <v>2645</v>
      </c>
    </row>
    <row r="460" spans="1:7">
      <c r="A460" t="s">
        <v>3562</v>
      </c>
      <c r="B460" t="s">
        <v>1477</v>
      </c>
      <c r="C460" t="s">
        <v>2643</v>
      </c>
      <c r="D460" t="s">
        <v>3563</v>
      </c>
      <c r="E460" s="2">
        <v>46122</v>
      </c>
      <c r="F460" s="2">
        <v>46191</v>
      </c>
      <c r="G460" t="s">
        <v>2649</v>
      </c>
    </row>
    <row r="461" spans="1:7">
      <c r="A461" t="s">
        <v>3564</v>
      </c>
      <c r="B461" t="s">
        <v>1480</v>
      </c>
      <c r="C461" t="s">
        <v>2647</v>
      </c>
      <c r="D461" t="s">
        <v>3565</v>
      </c>
      <c r="E461" s="2">
        <v>46123</v>
      </c>
      <c r="F461" s="2"/>
      <c r="G461" t="s">
        <v>2638</v>
      </c>
    </row>
    <row r="462" spans="1:7">
      <c r="A462" t="s">
        <v>3566</v>
      </c>
      <c r="B462" t="s">
        <v>1483</v>
      </c>
      <c r="C462" t="s">
        <v>2651</v>
      </c>
      <c r="D462" t="s">
        <v>3567</v>
      </c>
      <c r="E462" s="2">
        <v>46124</v>
      </c>
      <c r="F462" s="2"/>
      <c r="G462" t="s">
        <v>2638</v>
      </c>
    </row>
    <row r="463" spans="1:7">
      <c r="A463" t="s">
        <v>3568</v>
      </c>
      <c r="B463" t="s">
        <v>1486</v>
      </c>
      <c r="C463" t="s">
        <v>2654</v>
      </c>
      <c r="D463" t="s">
        <v>3569</v>
      </c>
      <c r="E463" s="2">
        <v>46125</v>
      </c>
      <c r="F463" s="2"/>
      <c r="G463" t="s">
        <v>2638</v>
      </c>
    </row>
    <row r="464" spans="1:7">
      <c r="A464" t="s">
        <v>3570</v>
      </c>
      <c r="B464" t="s">
        <v>1489</v>
      </c>
      <c r="C464" t="s">
        <v>2657</v>
      </c>
      <c r="D464" t="s">
        <v>3571</v>
      </c>
      <c r="E464" s="2">
        <v>46126</v>
      </c>
      <c r="F464" s="2">
        <v>46199</v>
      </c>
      <c r="G464" t="s">
        <v>2645</v>
      </c>
    </row>
    <row r="465" spans="1:7">
      <c r="A465" t="s">
        <v>3572</v>
      </c>
      <c r="B465" t="s">
        <v>1492</v>
      </c>
      <c r="C465" t="s">
        <v>2660</v>
      </c>
      <c r="D465" t="s">
        <v>3573</v>
      </c>
      <c r="E465" s="2">
        <v>46127</v>
      </c>
      <c r="F465" s="2">
        <v>46201</v>
      </c>
      <c r="G465" t="s">
        <v>2649</v>
      </c>
    </row>
    <row r="466" spans="1:7">
      <c r="A466" t="s">
        <v>3574</v>
      </c>
      <c r="B466" t="s">
        <v>1495</v>
      </c>
      <c r="C466" t="s">
        <v>2636</v>
      </c>
      <c r="D466" t="s">
        <v>3575</v>
      </c>
      <c r="E466" s="2">
        <v>46128</v>
      </c>
      <c r="F466" s="2"/>
      <c r="G466" t="s">
        <v>2638</v>
      </c>
    </row>
    <row r="467" spans="1:7">
      <c r="A467" t="s">
        <v>3576</v>
      </c>
      <c r="B467" t="s">
        <v>1498</v>
      </c>
      <c r="C467" t="s">
        <v>2640</v>
      </c>
      <c r="D467" t="s">
        <v>3577</v>
      </c>
      <c r="E467" s="2">
        <v>46129</v>
      </c>
      <c r="F467" s="2"/>
      <c r="G467" t="s">
        <v>2638</v>
      </c>
    </row>
    <row r="468" spans="1:7">
      <c r="A468" t="s">
        <v>3578</v>
      </c>
      <c r="B468" t="s">
        <v>1501</v>
      </c>
      <c r="C468" t="s">
        <v>2643</v>
      </c>
      <c r="D468" t="s">
        <v>3579</v>
      </c>
      <c r="E468" s="2">
        <v>46130</v>
      </c>
      <c r="F468" s="2"/>
      <c r="G468" t="s">
        <v>2638</v>
      </c>
    </row>
    <row r="469" spans="1:7">
      <c r="A469" t="s">
        <v>3580</v>
      </c>
      <c r="B469" t="s">
        <v>1504</v>
      </c>
      <c r="C469" t="s">
        <v>2647</v>
      </c>
      <c r="D469" t="s">
        <v>3581</v>
      </c>
      <c r="E469" s="2">
        <v>46131</v>
      </c>
      <c r="F469" s="2">
        <v>46209</v>
      </c>
      <c r="G469" t="s">
        <v>2645</v>
      </c>
    </row>
    <row r="470" spans="1:7">
      <c r="A470" t="s">
        <v>3582</v>
      </c>
      <c r="B470" t="s">
        <v>1507</v>
      </c>
      <c r="C470" t="s">
        <v>2651</v>
      </c>
      <c r="D470" t="s">
        <v>3583</v>
      </c>
      <c r="E470" s="2">
        <v>46132</v>
      </c>
      <c r="F470" s="2">
        <v>46211</v>
      </c>
      <c r="G470" t="s">
        <v>2649</v>
      </c>
    </row>
    <row r="471" spans="1:7">
      <c r="A471" t="s">
        <v>3584</v>
      </c>
      <c r="B471" t="s">
        <v>1510</v>
      </c>
      <c r="C471" t="s">
        <v>2654</v>
      </c>
      <c r="D471" t="s">
        <v>3585</v>
      </c>
      <c r="E471" s="2">
        <v>46133</v>
      </c>
      <c r="F471" s="2"/>
      <c r="G471" t="s">
        <v>2638</v>
      </c>
    </row>
    <row r="472" spans="1:7">
      <c r="A472" t="s">
        <v>3586</v>
      </c>
      <c r="B472" t="s">
        <v>1513</v>
      </c>
      <c r="C472" t="s">
        <v>2657</v>
      </c>
      <c r="D472" t="s">
        <v>3587</v>
      </c>
      <c r="E472" s="2">
        <v>46134</v>
      </c>
      <c r="F472" s="2"/>
      <c r="G472" t="s">
        <v>2638</v>
      </c>
    </row>
    <row r="473" spans="1:7">
      <c r="A473" t="s">
        <v>3588</v>
      </c>
      <c r="B473" t="s">
        <v>1516</v>
      </c>
      <c r="C473" t="s">
        <v>2660</v>
      </c>
      <c r="D473" t="s">
        <v>3589</v>
      </c>
      <c r="E473" s="2">
        <v>46135</v>
      </c>
      <c r="F473" s="2"/>
      <c r="G473" t="s">
        <v>2638</v>
      </c>
    </row>
    <row r="474" spans="1:7">
      <c r="A474" t="s">
        <v>3590</v>
      </c>
      <c r="B474" t="s">
        <v>1519</v>
      </c>
      <c r="C474" t="s">
        <v>2636</v>
      </c>
      <c r="D474" t="s">
        <v>3591</v>
      </c>
      <c r="E474" s="2">
        <v>46136</v>
      </c>
      <c r="F474" s="2">
        <v>46219</v>
      </c>
      <c r="G474" t="s">
        <v>2645</v>
      </c>
    </row>
    <row r="475" spans="1:7">
      <c r="A475" t="s">
        <v>3592</v>
      </c>
      <c r="B475" t="s">
        <v>1522</v>
      </c>
      <c r="C475" t="s">
        <v>2640</v>
      </c>
      <c r="D475" t="s">
        <v>3593</v>
      </c>
      <c r="E475" s="2">
        <v>46137</v>
      </c>
      <c r="F475" s="2">
        <v>46221</v>
      </c>
      <c r="G475" t="s">
        <v>2649</v>
      </c>
    </row>
    <row r="476" spans="1:7">
      <c r="A476" t="s">
        <v>3594</v>
      </c>
      <c r="B476" t="s">
        <v>1525</v>
      </c>
      <c r="C476" t="s">
        <v>2643</v>
      </c>
      <c r="D476" t="s">
        <v>3595</v>
      </c>
      <c r="E476" s="2">
        <v>46138</v>
      </c>
      <c r="F476" s="2"/>
      <c r="G476" t="s">
        <v>2638</v>
      </c>
    </row>
    <row r="477" spans="1:7">
      <c r="A477" t="s">
        <v>3596</v>
      </c>
      <c r="B477" t="s">
        <v>1528</v>
      </c>
      <c r="C477" t="s">
        <v>2647</v>
      </c>
      <c r="D477" t="s">
        <v>3597</v>
      </c>
      <c r="E477" s="2">
        <v>46139</v>
      </c>
      <c r="F477" s="2"/>
      <c r="G477" t="s">
        <v>2638</v>
      </c>
    </row>
    <row r="478" spans="1:7">
      <c r="A478" t="s">
        <v>3598</v>
      </c>
      <c r="B478" t="s">
        <v>1531</v>
      </c>
      <c r="C478" t="s">
        <v>2651</v>
      </c>
      <c r="D478" t="s">
        <v>3599</v>
      </c>
      <c r="E478" s="2">
        <v>46140</v>
      </c>
      <c r="F478" s="2"/>
      <c r="G478" t="s">
        <v>2638</v>
      </c>
    </row>
    <row r="479" spans="1:7">
      <c r="A479" t="s">
        <v>3600</v>
      </c>
      <c r="B479" t="s">
        <v>1534</v>
      </c>
      <c r="C479" t="s">
        <v>2654</v>
      </c>
      <c r="D479" t="s">
        <v>3601</v>
      </c>
      <c r="E479" s="2">
        <v>46141</v>
      </c>
      <c r="F479" s="2">
        <v>46229</v>
      </c>
      <c r="G479" t="s">
        <v>2645</v>
      </c>
    </row>
    <row r="480" spans="1:7">
      <c r="A480" t="s">
        <v>3602</v>
      </c>
      <c r="B480" t="s">
        <v>1537</v>
      </c>
      <c r="C480" t="s">
        <v>2657</v>
      </c>
      <c r="D480" t="s">
        <v>3603</v>
      </c>
      <c r="E480" s="2">
        <v>46142</v>
      </c>
      <c r="F480" s="2">
        <v>46231</v>
      </c>
      <c r="G480" t="s">
        <v>2649</v>
      </c>
    </row>
    <row r="481" spans="1:7">
      <c r="A481" t="s">
        <v>3604</v>
      </c>
      <c r="B481" t="s">
        <v>1540</v>
      </c>
      <c r="C481" t="s">
        <v>2660</v>
      </c>
      <c r="D481" t="s">
        <v>3605</v>
      </c>
      <c r="E481" s="2">
        <v>46143</v>
      </c>
      <c r="F481" s="2"/>
      <c r="G481" t="s">
        <v>2638</v>
      </c>
    </row>
    <row r="482" spans="1:7">
      <c r="A482" t="s">
        <v>3606</v>
      </c>
      <c r="B482" t="s">
        <v>1543</v>
      </c>
      <c r="C482" t="s">
        <v>2636</v>
      </c>
      <c r="D482" t="s">
        <v>3607</v>
      </c>
      <c r="E482" s="2">
        <v>46144</v>
      </c>
      <c r="F482" s="2"/>
      <c r="G482" t="s">
        <v>2638</v>
      </c>
    </row>
    <row r="483" spans="1:7">
      <c r="A483" t="s">
        <v>3608</v>
      </c>
      <c r="B483" t="s">
        <v>1546</v>
      </c>
      <c r="C483" t="s">
        <v>2640</v>
      </c>
      <c r="D483" t="s">
        <v>3609</v>
      </c>
      <c r="E483" s="2">
        <v>46145</v>
      </c>
      <c r="F483" s="2"/>
      <c r="G483" t="s">
        <v>2638</v>
      </c>
    </row>
    <row r="484" spans="1:7">
      <c r="A484" t="s">
        <v>3610</v>
      </c>
      <c r="B484" t="s">
        <v>1549</v>
      </c>
      <c r="C484" t="s">
        <v>2643</v>
      </c>
      <c r="D484" t="s">
        <v>3611</v>
      </c>
      <c r="E484" s="2">
        <v>46146</v>
      </c>
      <c r="F484" s="2">
        <v>46239</v>
      </c>
      <c r="G484" t="s">
        <v>2645</v>
      </c>
    </row>
    <row r="485" spans="1:7">
      <c r="A485" t="s">
        <v>3612</v>
      </c>
      <c r="B485" t="s">
        <v>1552</v>
      </c>
      <c r="C485" t="s">
        <v>2647</v>
      </c>
      <c r="D485" t="s">
        <v>3613</v>
      </c>
      <c r="E485" s="2">
        <v>46147</v>
      </c>
      <c r="F485" s="2">
        <v>46241</v>
      </c>
      <c r="G485" t="s">
        <v>2649</v>
      </c>
    </row>
    <row r="486" spans="1:7">
      <c r="A486" t="s">
        <v>3614</v>
      </c>
      <c r="B486" t="s">
        <v>1555</v>
      </c>
      <c r="C486" t="s">
        <v>2651</v>
      </c>
      <c r="D486" t="s">
        <v>3615</v>
      </c>
      <c r="E486" s="2">
        <v>46148</v>
      </c>
      <c r="F486" s="2"/>
      <c r="G486" t="s">
        <v>2638</v>
      </c>
    </row>
    <row r="487" spans="1:7">
      <c r="A487" t="s">
        <v>3616</v>
      </c>
      <c r="B487" t="s">
        <v>1558</v>
      </c>
      <c r="C487" t="s">
        <v>2654</v>
      </c>
      <c r="D487" t="s">
        <v>3617</v>
      </c>
      <c r="E487" s="2">
        <v>46149</v>
      </c>
      <c r="F487" s="2"/>
      <c r="G487" t="s">
        <v>2638</v>
      </c>
    </row>
    <row r="488" spans="1:7">
      <c r="A488" t="s">
        <v>3618</v>
      </c>
      <c r="B488" t="s">
        <v>1561</v>
      </c>
      <c r="C488" t="s">
        <v>2657</v>
      </c>
      <c r="D488" t="s">
        <v>3619</v>
      </c>
      <c r="E488" s="2">
        <v>46150</v>
      </c>
      <c r="F488" s="2"/>
      <c r="G488" t="s">
        <v>2638</v>
      </c>
    </row>
    <row r="489" spans="1:7">
      <c r="A489" t="s">
        <v>3620</v>
      </c>
      <c r="B489" t="s">
        <v>1564</v>
      </c>
      <c r="C489" t="s">
        <v>2660</v>
      </c>
      <c r="D489" t="s">
        <v>3621</v>
      </c>
      <c r="E489" s="2">
        <v>46151</v>
      </c>
      <c r="F489" s="2">
        <v>46249</v>
      </c>
      <c r="G489" t="s">
        <v>2645</v>
      </c>
    </row>
    <row r="490" spans="1:7">
      <c r="A490" t="s">
        <v>3622</v>
      </c>
      <c r="B490" t="s">
        <v>1567</v>
      </c>
      <c r="C490" t="s">
        <v>2636</v>
      </c>
      <c r="D490" t="s">
        <v>3623</v>
      </c>
      <c r="E490" s="2">
        <v>46152</v>
      </c>
      <c r="F490" s="2">
        <v>46251</v>
      </c>
      <c r="G490" t="s">
        <v>2649</v>
      </c>
    </row>
    <row r="491" spans="1:7">
      <c r="A491" t="s">
        <v>3624</v>
      </c>
      <c r="B491" t="s">
        <v>1570</v>
      </c>
      <c r="C491" t="s">
        <v>2640</v>
      </c>
      <c r="D491" t="s">
        <v>3625</v>
      </c>
      <c r="E491" s="2">
        <v>46153</v>
      </c>
      <c r="F491" s="2"/>
      <c r="G491" t="s">
        <v>2638</v>
      </c>
    </row>
    <row r="492" spans="1:7">
      <c r="A492" t="s">
        <v>3626</v>
      </c>
      <c r="B492" t="s">
        <v>1573</v>
      </c>
      <c r="C492" t="s">
        <v>2643</v>
      </c>
      <c r="D492" t="s">
        <v>3627</v>
      </c>
      <c r="E492" s="2">
        <v>46154</v>
      </c>
      <c r="F492" s="2"/>
      <c r="G492" t="s">
        <v>2638</v>
      </c>
    </row>
    <row r="493" spans="1:7">
      <c r="A493" t="s">
        <v>3628</v>
      </c>
      <c r="B493" t="s">
        <v>1576</v>
      </c>
      <c r="C493" t="s">
        <v>2647</v>
      </c>
      <c r="D493" t="s">
        <v>3629</v>
      </c>
      <c r="E493" s="2">
        <v>46155</v>
      </c>
      <c r="F493" s="2"/>
      <c r="G493" t="s">
        <v>2638</v>
      </c>
    </row>
    <row r="494" spans="1:7">
      <c r="A494" t="s">
        <v>3630</v>
      </c>
      <c r="B494" t="s">
        <v>1579</v>
      </c>
      <c r="C494" t="s">
        <v>2651</v>
      </c>
      <c r="D494" t="s">
        <v>3631</v>
      </c>
      <c r="E494" s="2">
        <v>46156</v>
      </c>
      <c r="F494" s="2">
        <v>46259</v>
      </c>
      <c r="G494" t="s">
        <v>2645</v>
      </c>
    </row>
    <row r="495" spans="1:7">
      <c r="A495" t="s">
        <v>3632</v>
      </c>
      <c r="B495" t="s">
        <v>1582</v>
      </c>
      <c r="C495" t="s">
        <v>2654</v>
      </c>
      <c r="D495" t="s">
        <v>3633</v>
      </c>
      <c r="E495" s="2">
        <v>46157</v>
      </c>
      <c r="F495" s="2">
        <v>46261</v>
      </c>
      <c r="G495" t="s">
        <v>2649</v>
      </c>
    </row>
    <row r="496" spans="1:7">
      <c r="A496" t="s">
        <v>3634</v>
      </c>
      <c r="B496" t="s">
        <v>1585</v>
      </c>
      <c r="C496" t="s">
        <v>2657</v>
      </c>
      <c r="D496" t="s">
        <v>3635</v>
      </c>
      <c r="E496" s="2">
        <v>46158</v>
      </c>
      <c r="F496" s="2"/>
      <c r="G496" t="s">
        <v>2638</v>
      </c>
    </row>
    <row r="497" spans="1:7">
      <c r="A497" t="s">
        <v>3636</v>
      </c>
      <c r="B497" t="s">
        <v>1588</v>
      </c>
      <c r="C497" t="s">
        <v>2660</v>
      </c>
      <c r="D497" t="s">
        <v>3637</v>
      </c>
      <c r="E497" s="2">
        <v>46159</v>
      </c>
      <c r="F497" s="2"/>
      <c r="G497" t="s">
        <v>2638</v>
      </c>
    </row>
    <row r="498" spans="1:7">
      <c r="A498" t="s">
        <v>3638</v>
      </c>
      <c r="B498" t="s">
        <v>1591</v>
      </c>
      <c r="C498" t="s">
        <v>2636</v>
      </c>
      <c r="D498" t="s">
        <v>3639</v>
      </c>
      <c r="E498" s="2">
        <v>46160</v>
      </c>
      <c r="F498" s="2"/>
      <c r="G498" t="s">
        <v>2638</v>
      </c>
    </row>
    <row r="499" spans="1:7">
      <c r="A499" t="s">
        <v>3640</v>
      </c>
      <c r="B499" t="s">
        <v>1594</v>
      </c>
      <c r="C499" t="s">
        <v>2640</v>
      </c>
      <c r="D499" t="s">
        <v>3641</v>
      </c>
      <c r="E499" s="2">
        <v>46161</v>
      </c>
      <c r="F499" s="2">
        <v>46269</v>
      </c>
      <c r="G499" t="s">
        <v>2645</v>
      </c>
    </row>
    <row r="500" spans="1:7">
      <c r="A500" t="s">
        <v>3642</v>
      </c>
      <c r="B500" t="s">
        <v>1597</v>
      </c>
      <c r="C500" t="s">
        <v>2643</v>
      </c>
      <c r="D500" t="s">
        <v>3643</v>
      </c>
      <c r="E500" s="2">
        <v>46162</v>
      </c>
      <c r="F500" s="2">
        <v>46271</v>
      </c>
      <c r="G500" t="s">
        <v>2649</v>
      </c>
    </row>
    <row r="501" spans="1:7">
      <c r="A501" t="s">
        <v>3644</v>
      </c>
      <c r="B501" t="s">
        <v>1600</v>
      </c>
      <c r="C501" t="s">
        <v>2647</v>
      </c>
      <c r="D501" t="s">
        <v>3645</v>
      </c>
      <c r="E501" s="2">
        <v>46163</v>
      </c>
      <c r="F501" s="2"/>
      <c r="G501" t="s">
        <v>2638</v>
      </c>
    </row>
  </sheetData>
  <conditionalFormatting sqref="G2:G501">
    <cfRule type="expression" dxfId="2" priority="1">
      <formula>G2="Damaged"</formula>
    </cfRule>
  </conditionalFormatting>
  <dataValidations count="2">
    <dataValidation type="list" sqref="C2:C501" xr:uid="{00000000-0002-0000-0300-000000000000}">
      <formula1>"Laptop,Desktop,Monitor,Keyboard,Mouse,Headset,ID Card,Office Phone"</formula1>
    </dataValidation>
    <dataValidation type="list" sqref="G2:G501" xr:uid="{00000000-0002-0000-0300-000001000000}">
      <formula1>"Assigned,Returned,Damaged"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1"/>
  <sheetViews>
    <sheetView workbookViewId="0">
      <selection activeCell="G2" sqref="G2"/>
    </sheetView>
  </sheetViews>
  <sheetFormatPr defaultRowHeight="13.8"/>
  <cols>
    <col min="1" max="1" width="14" customWidth="1"/>
    <col min="2" max="4" width="12" customWidth="1"/>
    <col min="5" max="6" width="16" customWidth="1"/>
    <col min="7" max="7" width="22" customWidth="1"/>
  </cols>
  <sheetData>
    <row r="1" spans="1:7">
      <c r="A1" s="1" t="s">
        <v>0</v>
      </c>
      <c r="B1" s="1" t="s">
        <v>3646</v>
      </c>
      <c r="C1" s="1" t="s">
        <v>3647</v>
      </c>
      <c r="D1" s="1" t="s">
        <v>3648</v>
      </c>
      <c r="E1" s="1" t="s">
        <v>3649</v>
      </c>
      <c r="F1" s="1" t="s">
        <v>3650</v>
      </c>
      <c r="G1" s="1" t="s">
        <v>3651</v>
      </c>
    </row>
    <row r="2" spans="1:7">
      <c r="A2" t="s">
        <v>11</v>
      </c>
      <c r="B2" t="s">
        <v>3652</v>
      </c>
      <c r="C2" t="s">
        <v>3652</v>
      </c>
      <c r="D2" t="s">
        <v>3652</v>
      </c>
      <c r="E2" t="s">
        <v>3652</v>
      </c>
      <c r="F2" t="s">
        <v>3652</v>
      </c>
      <c r="G2" t="str">
        <f t="shared" ref="G2:G65" si="0">IF(AND(B2="Yes",C2="Yes",D2="Yes",E2="Yes",F2="Yes"),"Completed","Pending")</f>
        <v>Completed</v>
      </c>
    </row>
    <row r="3" spans="1:7">
      <c r="A3" t="s">
        <v>21</v>
      </c>
      <c r="B3" t="s">
        <v>3652</v>
      </c>
      <c r="C3" t="s">
        <v>3652</v>
      </c>
      <c r="D3" t="s">
        <v>3652</v>
      </c>
      <c r="E3" t="s">
        <v>3652</v>
      </c>
      <c r="F3" t="s">
        <v>3652</v>
      </c>
      <c r="G3" t="str">
        <f t="shared" si="0"/>
        <v>Completed</v>
      </c>
    </row>
    <row r="4" spans="1:7">
      <c r="A4" t="s">
        <v>30</v>
      </c>
      <c r="B4" t="s">
        <v>3652</v>
      </c>
      <c r="C4" t="s">
        <v>3652</v>
      </c>
      <c r="D4" t="s">
        <v>3652</v>
      </c>
      <c r="E4" t="s">
        <v>3652</v>
      </c>
      <c r="F4" t="s">
        <v>3652</v>
      </c>
      <c r="G4" t="str">
        <f t="shared" si="0"/>
        <v>Completed</v>
      </c>
    </row>
    <row r="5" spans="1:7">
      <c r="A5" t="s">
        <v>38</v>
      </c>
      <c r="B5" t="s">
        <v>3652</v>
      </c>
      <c r="C5" t="s">
        <v>3652</v>
      </c>
      <c r="D5" t="s">
        <v>3652</v>
      </c>
      <c r="E5" t="s">
        <v>3652</v>
      </c>
      <c r="F5" t="s">
        <v>3653</v>
      </c>
      <c r="G5" t="str">
        <f t="shared" si="0"/>
        <v>Pending</v>
      </c>
    </row>
    <row r="6" spans="1:7">
      <c r="A6" t="s">
        <v>47</v>
      </c>
      <c r="B6" t="s">
        <v>3652</v>
      </c>
      <c r="C6" t="s">
        <v>3652</v>
      </c>
      <c r="D6" t="s">
        <v>3652</v>
      </c>
      <c r="E6" t="s">
        <v>3653</v>
      </c>
      <c r="F6" t="s">
        <v>3652</v>
      </c>
      <c r="G6" t="str">
        <f t="shared" si="0"/>
        <v>Pending</v>
      </c>
    </row>
    <row r="7" spans="1:7">
      <c r="A7" t="s">
        <v>56</v>
      </c>
      <c r="B7" t="s">
        <v>3652</v>
      </c>
      <c r="C7" t="s">
        <v>3653</v>
      </c>
      <c r="D7" t="s">
        <v>3652</v>
      </c>
      <c r="E7" t="s">
        <v>3652</v>
      </c>
      <c r="F7" t="s">
        <v>3652</v>
      </c>
      <c r="G7" t="str">
        <f t="shared" si="0"/>
        <v>Pending</v>
      </c>
    </row>
    <row r="8" spans="1:7">
      <c r="A8" t="s">
        <v>64</v>
      </c>
      <c r="B8" t="s">
        <v>3653</v>
      </c>
      <c r="C8" t="s">
        <v>3652</v>
      </c>
      <c r="D8" t="s">
        <v>3652</v>
      </c>
      <c r="E8" t="s">
        <v>3652</v>
      </c>
      <c r="F8" t="s">
        <v>3652</v>
      </c>
      <c r="G8" t="str">
        <f t="shared" si="0"/>
        <v>Pending</v>
      </c>
    </row>
    <row r="9" spans="1:7">
      <c r="A9" t="s">
        <v>72</v>
      </c>
      <c r="B9" t="s">
        <v>3652</v>
      </c>
      <c r="C9" t="s">
        <v>3652</v>
      </c>
      <c r="D9" t="s">
        <v>3652</v>
      </c>
      <c r="E9" t="s">
        <v>3652</v>
      </c>
      <c r="F9" t="s">
        <v>3653</v>
      </c>
      <c r="G9" t="str">
        <f t="shared" si="0"/>
        <v>Pending</v>
      </c>
    </row>
    <row r="10" spans="1:7">
      <c r="A10" t="s">
        <v>80</v>
      </c>
      <c r="B10" t="s">
        <v>3652</v>
      </c>
      <c r="C10" t="s">
        <v>3652</v>
      </c>
      <c r="D10" t="s">
        <v>3653</v>
      </c>
      <c r="E10" t="s">
        <v>3652</v>
      </c>
      <c r="F10" t="s">
        <v>3652</v>
      </c>
      <c r="G10" t="str">
        <f t="shared" si="0"/>
        <v>Pending</v>
      </c>
    </row>
    <row r="11" spans="1:7">
      <c r="A11" t="s">
        <v>87</v>
      </c>
      <c r="B11" t="s">
        <v>3652</v>
      </c>
      <c r="C11" t="s">
        <v>3652</v>
      </c>
      <c r="D11" t="s">
        <v>3652</v>
      </c>
      <c r="E11" t="s">
        <v>3653</v>
      </c>
      <c r="F11" t="s">
        <v>3652</v>
      </c>
      <c r="G11" t="str">
        <f t="shared" si="0"/>
        <v>Pending</v>
      </c>
    </row>
    <row r="12" spans="1:7">
      <c r="A12" t="s">
        <v>94</v>
      </c>
      <c r="B12" t="s">
        <v>3652</v>
      </c>
      <c r="C12" t="s">
        <v>3652</v>
      </c>
      <c r="D12" t="s">
        <v>3652</v>
      </c>
      <c r="E12" t="s">
        <v>3652</v>
      </c>
      <c r="F12" t="s">
        <v>3652</v>
      </c>
      <c r="G12" t="str">
        <f t="shared" si="0"/>
        <v>Completed</v>
      </c>
    </row>
    <row r="13" spans="1:7">
      <c r="A13" t="s">
        <v>100</v>
      </c>
      <c r="B13" t="s">
        <v>3652</v>
      </c>
      <c r="C13" t="s">
        <v>3653</v>
      </c>
      <c r="D13" t="s">
        <v>3652</v>
      </c>
      <c r="E13" t="s">
        <v>3652</v>
      </c>
      <c r="F13" t="s">
        <v>3653</v>
      </c>
      <c r="G13" t="str">
        <f t="shared" si="0"/>
        <v>Pending</v>
      </c>
    </row>
    <row r="14" spans="1:7">
      <c r="A14" t="s">
        <v>106</v>
      </c>
      <c r="B14" t="s">
        <v>3652</v>
      </c>
      <c r="C14" t="s">
        <v>3652</v>
      </c>
      <c r="D14" t="s">
        <v>3652</v>
      </c>
      <c r="E14" t="s">
        <v>3652</v>
      </c>
      <c r="F14" t="s">
        <v>3652</v>
      </c>
      <c r="G14" t="str">
        <f t="shared" si="0"/>
        <v>Completed</v>
      </c>
    </row>
    <row r="15" spans="1:7">
      <c r="A15" t="s">
        <v>112</v>
      </c>
      <c r="B15" t="s">
        <v>3653</v>
      </c>
      <c r="C15" t="s">
        <v>3652</v>
      </c>
      <c r="D15" t="s">
        <v>3652</v>
      </c>
      <c r="E15" t="s">
        <v>3652</v>
      </c>
      <c r="F15" t="s">
        <v>3652</v>
      </c>
      <c r="G15" t="str">
        <f t="shared" si="0"/>
        <v>Pending</v>
      </c>
    </row>
    <row r="16" spans="1:7">
      <c r="A16" t="s">
        <v>118</v>
      </c>
      <c r="B16" t="s">
        <v>3652</v>
      </c>
      <c r="C16" t="s">
        <v>3652</v>
      </c>
      <c r="D16" t="s">
        <v>3652</v>
      </c>
      <c r="E16" t="s">
        <v>3653</v>
      </c>
      <c r="F16" t="s">
        <v>3652</v>
      </c>
      <c r="G16" t="str">
        <f t="shared" si="0"/>
        <v>Pending</v>
      </c>
    </row>
    <row r="17" spans="1:7">
      <c r="A17" t="s">
        <v>124</v>
      </c>
      <c r="B17" t="s">
        <v>3652</v>
      </c>
      <c r="C17" t="s">
        <v>3652</v>
      </c>
      <c r="D17" t="s">
        <v>3652</v>
      </c>
      <c r="E17" t="s">
        <v>3652</v>
      </c>
      <c r="F17" t="s">
        <v>3653</v>
      </c>
      <c r="G17" t="str">
        <f t="shared" si="0"/>
        <v>Pending</v>
      </c>
    </row>
    <row r="18" spans="1:7">
      <c r="A18" t="s">
        <v>130</v>
      </c>
      <c r="B18" t="s">
        <v>3652</v>
      </c>
      <c r="C18" t="s">
        <v>3652</v>
      </c>
      <c r="D18" t="s">
        <v>3652</v>
      </c>
      <c r="E18" t="s">
        <v>3652</v>
      </c>
      <c r="F18" t="s">
        <v>3652</v>
      </c>
      <c r="G18" t="str">
        <f t="shared" si="0"/>
        <v>Completed</v>
      </c>
    </row>
    <row r="19" spans="1:7">
      <c r="A19" t="s">
        <v>136</v>
      </c>
      <c r="B19" t="s">
        <v>3652</v>
      </c>
      <c r="C19" t="s">
        <v>3653</v>
      </c>
      <c r="D19" t="s">
        <v>3653</v>
      </c>
      <c r="E19" t="s">
        <v>3652</v>
      </c>
      <c r="F19" t="s">
        <v>3652</v>
      </c>
      <c r="G19" t="str">
        <f t="shared" si="0"/>
        <v>Pending</v>
      </c>
    </row>
    <row r="20" spans="1:7">
      <c r="A20" t="s">
        <v>142</v>
      </c>
      <c r="B20" t="s">
        <v>3652</v>
      </c>
      <c r="C20" t="s">
        <v>3652</v>
      </c>
      <c r="D20" t="s">
        <v>3652</v>
      </c>
      <c r="E20" t="s">
        <v>3652</v>
      </c>
      <c r="F20" t="s">
        <v>3652</v>
      </c>
      <c r="G20" t="str">
        <f t="shared" si="0"/>
        <v>Completed</v>
      </c>
    </row>
    <row r="21" spans="1:7">
      <c r="A21" t="s">
        <v>148</v>
      </c>
      <c r="B21" t="s">
        <v>3652</v>
      </c>
      <c r="C21" t="s">
        <v>3652</v>
      </c>
      <c r="D21" t="s">
        <v>3652</v>
      </c>
      <c r="E21" t="s">
        <v>3653</v>
      </c>
      <c r="F21" t="s">
        <v>3653</v>
      </c>
      <c r="G21" t="str">
        <f t="shared" si="0"/>
        <v>Pending</v>
      </c>
    </row>
    <row r="22" spans="1:7">
      <c r="A22" t="s">
        <v>154</v>
      </c>
      <c r="B22" t="s">
        <v>3653</v>
      </c>
      <c r="C22" t="s">
        <v>3652</v>
      </c>
      <c r="D22" t="s">
        <v>3652</v>
      </c>
      <c r="E22" t="s">
        <v>3652</v>
      </c>
      <c r="F22" t="s">
        <v>3652</v>
      </c>
      <c r="G22" t="str">
        <f t="shared" si="0"/>
        <v>Pending</v>
      </c>
    </row>
    <row r="23" spans="1:7">
      <c r="A23" t="s">
        <v>159</v>
      </c>
      <c r="B23" t="s">
        <v>3652</v>
      </c>
      <c r="C23" t="s">
        <v>3652</v>
      </c>
      <c r="D23" t="s">
        <v>3652</v>
      </c>
      <c r="E23" t="s">
        <v>3652</v>
      </c>
      <c r="F23" t="s">
        <v>3652</v>
      </c>
      <c r="G23" t="str">
        <f t="shared" si="0"/>
        <v>Completed</v>
      </c>
    </row>
    <row r="24" spans="1:7">
      <c r="A24" t="s">
        <v>164</v>
      </c>
      <c r="B24" t="s">
        <v>3652</v>
      </c>
      <c r="C24" t="s">
        <v>3652</v>
      </c>
      <c r="D24" t="s">
        <v>3652</v>
      </c>
      <c r="E24" t="s">
        <v>3652</v>
      </c>
      <c r="F24" t="s">
        <v>3652</v>
      </c>
      <c r="G24" t="str">
        <f t="shared" si="0"/>
        <v>Completed</v>
      </c>
    </row>
    <row r="25" spans="1:7">
      <c r="A25" t="s">
        <v>169</v>
      </c>
      <c r="B25" t="s">
        <v>3652</v>
      </c>
      <c r="C25" t="s">
        <v>3653</v>
      </c>
      <c r="D25" t="s">
        <v>3652</v>
      </c>
      <c r="E25" t="s">
        <v>3652</v>
      </c>
      <c r="F25" t="s">
        <v>3653</v>
      </c>
      <c r="G25" t="str">
        <f t="shared" si="0"/>
        <v>Pending</v>
      </c>
    </row>
    <row r="26" spans="1:7">
      <c r="A26" t="s">
        <v>174</v>
      </c>
      <c r="B26" t="s">
        <v>3652</v>
      </c>
      <c r="C26" t="s">
        <v>3652</v>
      </c>
      <c r="D26" t="s">
        <v>3652</v>
      </c>
      <c r="E26" t="s">
        <v>3653</v>
      </c>
      <c r="F26" t="s">
        <v>3652</v>
      </c>
      <c r="G26" t="str">
        <f t="shared" si="0"/>
        <v>Pending</v>
      </c>
    </row>
    <row r="27" spans="1:7">
      <c r="A27" t="s">
        <v>178</v>
      </c>
      <c r="B27" t="s">
        <v>3652</v>
      </c>
      <c r="C27" t="s">
        <v>3652</v>
      </c>
      <c r="D27" t="s">
        <v>3652</v>
      </c>
      <c r="E27" t="s">
        <v>3652</v>
      </c>
      <c r="F27" t="s">
        <v>3652</v>
      </c>
      <c r="G27" t="str">
        <f t="shared" si="0"/>
        <v>Completed</v>
      </c>
    </row>
    <row r="28" spans="1:7">
      <c r="A28" t="s">
        <v>181</v>
      </c>
      <c r="B28" t="s">
        <v>3652</v>
      </c>
      <c r="C28" t="s">
        <v>3652</v>
      </c>
      <c r="D28" t="s">
        <v>3653</v>
      </c>
      <c r="E28" t="s">
        <v>3652</v>
      </c>
      <c r="F28" t="s">
        <v>3652</v>
      </c>
      <c r="G28" t="str">
        <f t="shared" si="0"/>
        <v>Pending</v>
      </c>
    </row>
    <row r="29" spans="1:7">
      <c r="A29" t="s">
        <v>184</v>
      </c>
      <c r="B29" t="s">
        <v>3653</v>
      </c>
      <c r="C29" t="s">
        <v>3652</v>
      </c>
      <c r="D29" t="s">
        <v>3652</v>
      </c>
      <c r="E29" t="s">
        <v>3652</v>
      </c>
      <c r="F29" t="s">
        <v>3653</v>
      </c>
      <c r="G29" t="str">
        <f t="shared" si="0"/>
        <v>Pending</v>
      </c>
    </row>
    <row r="30" spans="1:7">
      <c r="A30" t="s">
        <v>187</v>
      </c>
      <c r="B30" t="s">
        <v>3652</v>
      </c>
      <c r="C30" t="s">
        <v>3652</v>
      </c>
      <c r="D30" t="s">
        <v>3652</v>
      </c>
      <c r="E30" t="s">
        <v>3652</v>
      </c>
      <c r="F30" t="s">
        <v>3652</v>
      </c>
      <c r="G30" t="str">
        <f t="shared" si="0"/>
        <v>Completed</v>
      </c>
    </row>
    <row r="31" spans="1:7">
      <c r="A31" t="s">
        <v>190</v>
      </c>
      <c r="B31" t="s">
        <v>3652</v>
      </c>
      <c r="C31" t="s">
        <v>3653</v>
      </c>
      <c r="D31" t="s">
        <v>3652</v>
      </c>
      <c r="E31" t="s">
        <v>3653</v>
      </c>
      <c r="F31" t="s">
        <v>3652</v>
      </c>
      <c r="G31" t="str">
        <f t="shared" si="0"/>
        <v>Pending</v>
      </c>
    </row>
    <row r="32" spans="1:7">
      <c r="A32" t="s">
        <v>193</v>
      </c>
      <c r="B32" t="s">
        <v>3652</v>
      </c>
      <c r="C32" t="s">
        <v>3652</v>
      </c>
      <c r="D32" t="s">
        <v>3652</v>
      </c>
      <c r="E32" t="s">
        <v>3652</v>
      </c>
      <c r="F32" t="s">
        <v>3652</v>
      </c>
      <c r="G32" t="str">
        <f t="shared" si="0"/>
        <v>Completed</v>
      </c>
    </row>
    <row r="33" spans="1:7">
      <c r="A33" t="s">
        <v>196</v>
      </c>
      <c r="B33" t="s">
        <v>3652</v>
      </c>
      <c r="C33" t="s">
        <v>3652</v>
      </c>
      <c r="D33" t="s">
        <v>3652</v>
      </c>
      <c r="E33" t="s">
        <v>3652</v>
      </c>
      <c r="F33" t="s">
        <v>3653</v>
      </c>
      <c r="G33" t="str">
        <f t="shared" si="0"/>
        <v>Pending</v>
      </c>
    </row>
    <row r="34" spans="1:7">
      <c r="A34" t="s">
        <v>199</v>
      </c>
      <c r="B34" t="s">
        <v>3652</v>
      </c>
      <c r="C34" t="s">
        <v>3652</v>
      </c>
      <c r="D34" t="s">
        <v>3652</v>
      </c>
      <c r="E34" t="s">
        <v>3652</v>
      </c>
      <c r="F34" t="s">
        <v>3652</v>
      </c>
      <c r="G34" t="str">
        <f t="shared" si="0"/>
        <v>Completed</v>
      </c>
    </row>
    <row r="35" spans="1:7">
      <c r="A35" t="s">
        <v>202</v>
      </c>
      <c r="B35" t="s">
        <v>3652</v>
      </c>
      <c r="C35" t="s">
        <v>3652</v>
      </c>
      <c r="D35" t="s">
        <v>3652</v>
      </c>
      <c r="E35" t="s">
        <v>3652</v>
      </c>
      <c r="F35" t="s">
        <v>3652</v>
      </c>
      <c r="G35" t="str">
        <f t="shared" si="0"/>
        <v>Completed</v>
      </c>
    </row>
    <row r="36" spans="1:7">
      <c r="A36" t="s">
        <v>205</v>
      </c>
      <c r="B36" t="s">
        <v>3653</v>
      </c>
      <c r="C36" t="s">
        <v>3652</v>
      </c>
      <c r="D36" t="s">
        <v>3652</v>
      </c>
      <c r="E36" t="s">
        <v>3653</v>
      </c>
      <c r="F36" t="s">
        <v>3652</v>
      </c>
      <c r="G36" t="str">
        <f t="shared" si="0"/>
        <v>Pending</v>
      </c>
    </row>
    <row r="37" spans="1:7">
      <c r="A37" t="s">
        <v>208</v>
      </c>
      <c r="B37" t="s">
        <v>3652</v>
      </c>
      <c r="C37" t="s">
        <v>3653</v>
      </c>
      <c r="D37" t="s">
        <v>3653</v>
      </c>
      <c r="E37" t="s">
        <v>3652</v>
      </c>
      <c r="F37" t="s">
        <v>3653</v>
      </c>
      <c r="G37" t="str">
        <f t="shared" si="0"/>
        <v>Pending</v>
      </c>
    </row>
    <row r="38" spans="1:7">
      <c r="A38" t="s">
        <v>211</v>
      </c>
      <c r="B38" t="s">
        <v>3652</v>
      </c>
      <c r="C38" t="s">
        <v>3652</v>
      </c>
      <c r="D38" t="s">
        <v>3652</v>
      </c>
      <c r="E38" t="s">
        <v>3652</v>
      </c>
      <c r="F38" t="s">
        <v>3652</v>
      </c>
      <c r="G38" t="str">
        <f t="shared" si="0"/>
        <v>Completed</v>
      </c>
    </row>
    <row r="39" spans="1:7">
      <c r="A39" t="s">
        <v>214</v>
      </c>
      <c r="B39" t="s">
        <v>3652</v>
      </c>
      <c r="C39" t="s">
        <v>3652</v>
      </c>
      <c r="D39" t="s">
        <v>3652</v>
      </c>
      <c r="E39" t="s">
        <v>3652</v>
      </c>
      <c r="F39" t="s">
        <v>3652</v>
      </c>
      <c r="G39" t="str">
        <f t="shared" si="0"/>
        <v>Completed</v>
      </c>
    </row>
    <row r="40" spans="1:7">
      <c r="A40" t="s">
        <v>217</v>
      </c>
      <c r="B40" t="s">
        <v>3652</v>
      </c>
      <c r="C40" t="s">
        <v>3652</v>
      </c>
      <c r="D40" t="s">
        <v>3652</v>
      </c>
      <c r="E40" t="s">
        <v>3652</v>
      </c>
      <c r="F40" t="s">
        <v>3652</v>
      </c>
      <c r="G40" t="str">
        <f t="shared" si="0"/>
        <v>Completed</v>
      </c>
    </row>
    <row r="41" spans="1:7">
      <c r="A41" t="s">
        <v>220</v>
      </c>
      <c r="B41" t="s">
        <v>3652</v>
      </c>
      <c r="C41" t="s">
        <v>3652</v>
      </c>
      <c r="D41" t="s">
        <v>3652</v>
      </c>
      <c r="E41" t="s">
        <v>3653</v>
      </c>
      <c r="F41" t="s">
        <v>3653</v>
      </c>
      <c r="G41" t="str">
        <f t="shared" si="0"/>
        <v>Pending</v>
      </c>
    </row>
    <row r="42" spans="1:7">
      <c r="A42" t="s">
        <v>223</v>
      </c>
      <c r="B42" t="s">
        <v>3652</v>
      </c>
      <c r="C42" t="s">
        <v>3652</v>
      </c>
      <c r="D42" t="s">
        <v>3652</v>
      </c>
      <c r="E42" t="s">
        <v>3652</v>
      </c>
      <c r="F42" t="s">
        <v>3652</v>
      </c>
      <c r="G42" t="str">
        <f t="shared" si="0"/>
        <v>Completed</v>
      </c>
    </row>
    <row r="43" spans="1:7">
      <c r="A43" t="s">
        <v>226</v>
      </c>
      <c r="B43" t="s">
        <v>3653</v>
      </c>
      <c r="C43" t="s">
        <v>3653</v>
      </c>
      <c r="D43" t="s">
        <v>3652</v>
      </c>
      <c r="E43" t="s">
        <v>3652</v>
      </c>
      <c r="F43" t="s">
        <v>3652</v>
      </c>
      <c r="G43" t="str">
        <f t="shared" si="0"/>
        <v>Pending</v>
      </c>
    </row>
    <row r="44" spans="1:7">
      <c r="A44" t="s">
        <v>229</v>
      </c>
      <c r="B44" t="s">
        <v>3652</v>
      </c>
      <c r="C44" t="s">
        <v>3652</v>
      </c>
      <c r="D44" t="s">
        <v>3652</v>
      </c>
      <c r="E44" t="s">
        <v>3652</v>
      </c>
      <c r="F44" t="s">
        <v>3652</v>
      </c>
      <c r="G44" t="str">
        <f t="shared" si="0"/>
        <v>Completed</v>
      </c>
    </row>
    <row r="45" spans="1:7">
      <c r="A45" t="s">
        <v>232</v>
      </c>
      <c r="B45" t="s">
        <v>3652</v>
      </c>
      <c r="C45" t="s">
        <v>3652</v>
      </c>
      <c r="D45" t="s">
        <v>3652</v>
      </c>
      <c r="E45" t="s">
        <v>3652</v>
      </c>
      <c r="F45" t="s">
        <v>3653</v>
      </c>
      <c r="G45" t="str">
        <f t="shared" si="0"/>
        <v>Pending</v>
      </c>
    </row>
    <row r="46" spans="1:7">
      <c r="A46" t="s">
        <v>235</v>
      </c>
      <c r="B46" t="s">
        <v>3652</v>
      </c>
      <c r="C46" t="s">
        <v>3652</v>
      </c>
      <c r="D46" t="s">
        <v>3653</v>
      </c>
      <c r="E46" t="s">
        <v>3653</v>
      </c>
      <c r="F46" t="s">
        <v>3652</v>
      </c>
      <c r="G46" t="str">
        <f t="shared" si="0"/>
        <v>Pending</v>
      </c>
    </row>
    <row r="47" spans="1:7">
      <c r="A47" t="s">
        <v>238</v>
      </c>
      <c r="B47" t="s">
        <v>3652</v>
      </c>
      <c r="C47" t="s">
        <v>3652</v>
      </c>
      <c r="D47" t="s">
        <v>3652</v>
      </c>
      <c r="E47" t="s">
        <v>3652</v>
      </c>
      <c r="F47" t="s">
        <v>3652</v>
      </c>
      <c r="G47" t="str">
        <f t="shared" si="0"/>
        <v>Completed</v>
      </c>
    </row>
    <row r="48" spans="1:7">
      <c r="A48" t="s">
        <v>241</v>
      </c>
      <c r="B48" t="s">
        <v>3652</v>
      </c>
      <c r="C48" t="s">
        <v>3652</v>
      </c>
      <c r="D48" t="s">
        <v>3652</v>
      </c>
      <c r="E48" t="s">
        <v>3652</v>
      </c>
      <c r="F48" t="s">
        <v>3652</v>
      </c>
      <c r="G48" t="str">
        <f t="shared" si="0"/>
        <v>Completed</v>
      </c>
    </row>
    <row r="49" spans="1:7">
      <c r="A49" t="s">
        <v>244</v>
      </c>
      <c r="B49" t="s">
        <v>3652</v>
      </c>
      <c r="C49" t="s">
        <v>3653</v>
      </c>
      <c r="D49" t="s">
        <v>3652</v>
      </c>
      <c r="E49" t="s">
        <v>3652</v>
      </c>
      <c r="F49" t="s">
        <v>3653</v>
      </c>
      <c r="G49" t="str">
        <f t="shared" si="0"/>
        <v>Pending</v>
      </c>
    </row>
    <row r="50" spans="1:7">
      <c r="A50" t="s">
        <v>247</v>
      </c>
      <c r="B50" t="s">
        <v>3653</v>
      </c>
      <c r="C50" t="s">
        <v>3652</v>
      </c>
      <c r="D50" t="s">
        <v>3652</v>
      </c>
      <c r="E50" t="s">
        <v>3652</v>
      </c>
      <c r="F50" t="s">
        <v>3652</v>
      </c>
      <c r="G50" t="str">
        <f t="shared" si="0"/>
        <v>Pending</v>
      </c>
    </row>
    <row r="51" spans="1:7">
      <c r="A51" t="s">
        <v>250</v>
      </c>
      <c r="B51" t="s">
        <v>3652</v>
      </c>
      <c r="C51" t="s">
        <v>3652</v>
      </c>
      <c r="D51" t="s">
        <v>3652</v>
      </c>
      <c r="E51" t="s">
        <v>3653</v>
      </c>
      <c r="F51" t="s">
        <v>3652</v>
      </c>
      <c r="G51" t="str">
        <f t="shared" si="0"/>
        <v>Pending</v>
      </c>
    </row>
    <row r="52" spans="1:7">
      <c r="A52" t="s">
        <v>253</v>
      </c>
      <c r="B52" t="s">
        <v>3652</v>
      </c>
      <c r="C52" t="s">
        <v>3652</v>
      </c>
      <c r="D52" t="s">
        <v>3652</v>
      </c>
      <c r="E52" t="s">
        <v>3652</v>
      </c>
      <c r="F52" t="s">
        <v>3652</v>
      </c>
      <c r="G52" t="str">
        <f t="shared" si="0"/>
        <v>Completed</v>
      </c>
    </row>
    <row r="53" spans="1:7">
      <c r="A53" t="s">
        <v>256</v>
      </c>
      <c r="B53" t="s">
        <v>3652</v>
      </c>
      <c r="C53" t="s">
        <v>3652</v>
      </c>
      <c r="D53" t="s">
        <v>3652</v>
      </c>
      <c r="E53" t="s">
        <v>3652</v>
      </c>
      <c r="F53" t="s">
        <v>3653</v>
      </c>
      <c r="G53" t="str">
        <f t="shared" si="0"/>
        <v>Pending</v>
      </c>
    </row>
    <row r="54" spans="1:7">
      <c r="A54" t="s">
        <v>259</v>
      </c>
      <c r="B54" t="s">
        <v>3652</v>
      </c>
      <c r="C54" t="s">
        <v>3652</v>
      </c>
      <c r="D54" t="s">
        <v>3652</v>
      </c>
      <c r="E54" t="s">
        <v>3652</v>
      </c>
      <c r="F54" t="s">
        <v>3652</v>
      </c>
      <c r="G54" t="str">
        <f t="shared" si="0"/>
        <v>Completed</v>
      </c>
    </row>
    <row r="55" spans="1:7">
      <c r="A55" t="s">
        <v>262</v>
      </c>
      <c r="B55" t="s">
        <v>3652</v>
      </c>
      <c r="C55" t="s">
        <v>3653</v>
      </c>
      <c r="D55" t="s">
        <v>3653</v>
      </c>
      <c r="E55" t="s">
        <v>3652</v>
      </c>
      <c r="F55" t="s">
        <v>3652</v>
      </c>
      <c r="G55" t="str">
        <f t="shared" si="0"/>
        <v>Pending</v>
      </c>
    </row>
    <row r="56" spans="1:7">
      <c r="A56" t="s">
        <v>265</v>
      </c>
      <c r="B56" t="s">
        <v>3652</v>
      </c>
      <c r="C56" t="s">
        <v>3652</v>
      </c>
      <c r="D56" t="s">
        <v>3652</v>
      </c>
      <c r="E56" t="s">
        <v>3653</v>
      </c>
      <c r="F56" t="s">
        <v>3652</v>
      </c>
      <c r="G56" t="str">
        <f t="shared" si="0"/>
        <v>Pending</v>
      </c>
    </row>
    <row r="57" spans="1:7">
      <c r="A57" t="s">
        <v>268</v>
      </c>
      <c r="B57" t="s">
        <v>3653</v>
      </c>
      <c r="C57" t="s">
        <v>3652</v>
      </c>
      <c r="D57" t="s">
        <v>3652</v>
      </c>
      <c r="E57" t="s">
        <v>3652</v>
      </c>
      <c r="F57" t="s">
        <v>3653</v>
      </c>
      <c r="G57" t="str">
        <f t="shared" si="0"/>
        <v>Pending</v>
      </c>
    </row>
    <row r="58" spans="1:7">
      <c r="A58" t="s">
        <v>271</v>
      </c>
      <c r="B58" t="s">
        <v>3652</v>
      </c>
      <c r="C58" t="s">
        <v>3652</v>
      </c>
      <c r="D58" t="s">
        <v>3652</v>
      </c>
      <c r="E58" t="s">
        <v>3652</v>
      </c>
      <c r="F58" t="s">
        <v>3652</v>
      </c>
      <c r="G58" t="str">
        <f t="shared" si="0"/>
        <v>Completed</v>
      </c>
    </row>
    <row r="59" spans="1:7">
      <c r="A59" t="s">
        <v>274</v>
      </c>
      <c r="B59" t="s">
        <v>3652</v>
      </c>
      <c r="C59" t="s">
        <v>3652</v>
      </c>
      <c r="D59" t="s">
        <v>3652</v>
      </c>
      <c r="E59" t="s">
        <v>3652</v>
      </c>
      <c r="F59" t="s">
        <v>3652</v>
      </c>
      <c r="G59" t="str">
        <f t="shared" si="0"/>
        <v>Completed</v>
      </c>
    </row>
    <row r="60" spans="1:7">
      <c r="A60" t="s">
        <v>277</v>
      </c>
      <c r="B60" t="s">
        <v>3652</v>
      </c>
      <c r="C60" t="s">
        <v>3652</v>
      </c>
      <c r="D60" t="s">
        <v>3652</v>
      </c>
      <c r="E60" t="s">
        <v>3652</v>
      </c>
      <c r="F60" t="s">
        <v>3652</v>
      </c>
      <c r="G60" t="str">
        <f t="shared" si="0"/>
        <v>Completed</v>
      </c>
    </row>
    <row r="61" spans="1:7">
      <c r="A61" t="s">
        <v>280</v>
      </c>
      <c r="B61" t="s">
        <v>3652</v>
      </c>
      <c r="C61" t="s">
        <v>3653</v>
      </c>
      <c r="D61" t="s">
        <v>3652</v>
      </c>
      <c r="E61" t="s">
        <v>3653</v>
      </c>
      <c r="F61" t="s">
        <v>3653</v>
      </c>
      <c r="G61" t="str">
        <f t="shared" si="0"/>
        <v>Pending</v>
      </c>
    </row>
    <row r="62" spans="1:7">
      <c r="A62" t="s">
        <v>283</v>
      </c>
      <c r="B62" t="s">
        <v>3652</v>
      </c>
      <c r="C62" t="s">
        <v>3652</v>
      </c>
      <c r="D62" t="s">
        <v>3652</v>
      </c>
      <c r="E62" t="s">
        <v>3652</v>
      </c>
      <c r="F62" t="s">
        <v>3652</v>
      </c>
      <c r="G62" t="str">
        <f t="shared" si="0"/>
        <v>Completed</v>
      </c>
    </row>
    <row r="63" spans="1:7">
      <c r="A63" t="s">
        <v>286</v>
      </c>
      <c r="B63" t="s">
        <v>3652</v>
      </c>
      <c r="C63" t="s">
        <v>3652</v>
      </c>
      <c r="D63" t="s">
        <v>3652</v>
      </c>
      <c r="E63" t="s">
        <v>3652</v>
      </c>
      <c r="F63" t="s">
        <v>3652</v>
      </c>
      <c r="G63" t="str">
        <f t="shared" si="0"/>
        <v>Completed</v>
      </c>
    </row>
    <row r="64" spans="1:7">
      <c r="A64" t="s">
        <v>289</v>
      </c>
      <c r="B64" t="s">
        <v>3653</v>
      </c>
      <c r="C64" t="s">
        <v>3652</v>
      </c>
      <c r="D64" t="s">
        <v>3653</v>
      </c>
      <c r="E64" t="s">
        <v>3652</v>
      </c>
      <c r="F64" t="s">
        <v>3652</v>
      </c>
      <c r="G64" t="str">
        <f t="shared" si="0"/>
        <v>Pending</v>
      </c>
    </row>
    <row r="65" spans="1:7">
      <c r="A65" t="s">
        <v>292</v>
      </c>
      <c r="B65" t="s">
        <v>3652</v>
      </c>
      <c r="C65" t="s">
        <v>3652</v>
      </c>
      <c r="D65" t="s">
        <v>3652</v>
      </c>
      <c r="E65" t="s">
        <v>3652</v>
      </c>
      <c r="F65" t="s">
        <v>3653</v>
      </c>
      <c r="G65" t="str">
        <f t="shared" si="0"/>
        <v>Pending</v>
      </c>
    </row>
    <row r="66" spans="1:7">
      <c r="A66" t="s">
        <v>295</v>
      </c>
      <c r="B66" t="s">
        <v>3652</v>
      </c>
      <c r="C66" t="s">
        <v>3652</v>
      </c>
      <c r="D66" t="s">
        <v>3652</v>
      </c>
      <c r="E66" t="s">
        <v>3653</v>
      </c>
      <c r="F66" t="s">
        <v>3652</v>
      </c>
      <c r="G66" t="str">
        <f t="shared" ref="G66:G129" si="1">IF(AND(B66="Yes",C66="Yes",D66="Yes",E66="Yes",F66="Yes"),"Completed","Pending")</f>
        <v>Pending</v>
      </c>
    </row>
    <row r="67" spans="1:7">
      <c r="A67" t="s">
        <v>298</v>
      </c>
      <c r="B67" t="s">
        <v>3652</v>
      </c>
      <c r="C67" t="s">
        <v>3653</v>
      </c>
      <c r="D67" t="s">
        <v>3652</v>
      </c>
      <c r="E67" t="s">
        <v>3652</v>
      </c>
      <c r="F67" t="s">
        <v>3652</v>
      </c>
      <c r="G67" t="str">
        <f t="shared" si="1"/>
        <v>Pending</v>
      </c>
    </row>
    <row r="68" spans="1:7">
      <c r="A68" t="s">
        <v>301</v>
      </c>
      <c r="B68" t="s">
        <v>3652</v>
      </c>
      <c r="C68" t="s">
        <v>3652</v>
      </c>
      <c r="D68" t="s">
        <v>3652</v>
      </c>
      <c r="E68" t="s">
        <v>3652</v>
      </c>
      <c r="F68" t="s">
        <v>3652</v>
      </c>
      <c r="G68" t="str">
        <f t="shared" si="1"/>
        <v>Completed</v>
      </c>
    </row>
    <row r="69" spans="1:7">
      <c r="A69" t="s">
        <v>304</v>
      </c>
      <c r="B69" t="s">
        <v>3652</v>
      </c>
      <c r="C69" t="s">
        <v>3652</v>
      </c>
      <c r="D69" t="s">
        <v>3652</v>
      </c>
      <c r="E69" t="s">
        <v>3652</v>
      </c>
      <c r="F69" t="s">
        <v>3653</v>
      </c>
      <c r="G69" t="str">
        <f t="shared" si="1"/>
        <v>Pending</v>
      </c>
    </row>
    <row r="70" spans="1:7">
      <c r="A70" t="s">
        <v>307</v>
      </c>
      <c r="B70" t="s">
        <v>3652</v>
      </c>
      <c r="C70" t="s">
        <v>3652</v>
      </c>
      <c r="D70" t="s">
        <v>3652</v>
      </c>
      <c r="E70" t="s">
        <v>3652</v>
      </c>
      <c r="F70" t="s">
        <v>3652</v>
      </c>
      <c r="G70" t="str">
        <f t="shared" si="1"/>
        <v>Completed</v>
      </c>
    </row>
    <row r="71" spans="1:7">
      <c r="A71" t="s">
        <v>310</v>
      </c>
      <c r="B71" t="s">
        <v>3653</v>
      </c>
      <c r="C71" t="s">
        <v>3652</v>
      </c>
      <c r="D71" t="s">
        <v>3652</v>
      </c>
      <c r="E71" t="s">
        <v>3653</v>
      </c>
      <c r="F71" t="s">
        <v>3652</v>
      </c>
      <c r="G71" t="str">
        <f t="shared" si="1"/>
        <v>Pending</v>
      </c>
    </row>
    <row r="72" spans="1:7">
      <c r="A72" t="s">
        <v>313</v>
      </c>
      <c r="B72" t="s">
        <v>3652</v>
      </c>
      <c r="C72" t="s">
        <v>3652</v>
      </c>
      <c r="D72" t="s">
        <v>3652</v>
      </c>
      <c r="E72" t="s">
        <v>3652</v>
      </c>
      <c r="F72" t="s">
        <v>3652</v>
      </c>
      <c r="G72" t="str">
        <f t="shared" si="1"/>
        <v>Completed</v>
      </c>
    </row>
    <row r="73" spans="1:7">
      <c r="A73" t="s">
        <v>316</v>
      </c>
      <c r="B73" t="s">
        <v>3652</v>
      </c>
      <c r="C73" t="s">
        <v>3653</v>
      </c>
      <c r="D73" t="s">
        <v>3653</v>
      </c>
      <c r="E73" t="s">
        <v>3652</v>
      </c>
      <c r="F73" t="s">
        <v>3653</v>
      </c>
      <c r="G73" t="str">
        <f t="shared" si="1"/>
        <v>Pending</v>
      </c>
    </row>
    <row r="74" spans="1:7">
      <c r="A74" t="s">
        <v>319</v>
      </c>
      <c r="B74" t="s">
        <v>3652</v>
      </c>
      <c r="C74" t="s">
        <v>3652</v>
      </c>
      <c r="D74" t="s">
        <v>3652</v>
      </c>
      <c r="E74" t="s">
        <v>3652</v>
      </c>
      <c r="F74" t="s">
        <v>3652</v>
      </c>
      <c r="G74" t="str">
        <f t="shared" si="1"/>
        <v>Completed</v>
      </c>
    </row>
    <row r="75" spans="1:7">
      <c r="A75" t="s">
        <v>322</v>
      </c>
      <c r="B75" t="s">
        <v>3652</v>
      </c>
      <c r="C75" t="s">
        <v>3652</v>
      </c>
      <c r="D75" t="s">
        <v>3652</v>
      </c>
      <c r="E75" t="s">
        <v>3652</v>
      </c>
      <c r="F75" t="s">
        <v>3652</v>
      </c>
      <c r="G75" t="str">
        <f t="shared" si="1"/>
        <v>Completed</v>
      </c>
    </row>
    <row r="76" spans="1:7">
      <c r="A76" t="s">
        <v>325</v>
      </c>
      <c r="B76" t="s">
        <v>3652</v>
      </c>
      <c r="C76" t="s">
        <v>3652</v>
      </c>
      <c r="D76" t="s">
        <v>3652</v>
      </c>
      <c r="E76" t="s">
        <v>3653</v>
      </c>
      <c r="F76" t="s">
        <v>3652</v>
      </c>
      <c r="G76" t="str">
        <f t="shared" si="1"/>
        <v>Pending</v>
      </c>
    </row>
    <row r="77" spans="1:7">
      <c r="A77" t="s">
        <v>328</v>
      </c>
      <c r="B77" t="s">
        <v>3652</v>
      </c>
      <c r="C77" t="s">
        <v>3652</v>
      </c>
      <c r="D77" t="s">
        <v>3652</v>
      </c>
      <c r="E77" t="s">
        <v>3652</v>
      </c>
      <c r="F77" t="s">
        <v>3653</v>
      </c>
      <c r="G77" t="str">
        <f t="shared" si="1"/>
        <v>Pending</v>
      </c>
    </row>
    <row r="78" spans="1:7">
      <c r="A78" t="s">
        <v>331</v>
      </c>
      <c r="B78" t="s">
        <v>3653</v>
      </c>
      <c r="C78" t="s">
        <v>3652</v>
      </c>
      <c r="D78" t="s">
        <v>3652</v>
      </c>
      <c r="E78" t="s">
        <v>3652</v>
      </c>
      <c r="F78" t="s">
        <v>3652</v>
      </c>
      <c r="G78" t="str">
        <f t="shared" si="1"/>
        <v>Pending</v>
      </c>
    </row>
    <row r="79" spans="1:7">
      <c r="A79" t="s">
        <v>334</v>
      </c>
      <c r="B79" t="s">
        <v>3652</v>
      </c>
      <c r="C79" t="s">
        <v>3653</v>
      </c>
      <c r="D79" t="s">
        <v>3652</v>
      </c>
      <c r="E79" t="s">
        <v>3652</v>
      </c>
      <c r="F79" t="s">
        <v>3652</v>
      </c>
      <c r="G79" t="str">
        <f t="shared" si="1"/>
        <v>Pending</v>
      </c>
    </row>
    <row r="80" spans="1:7">
      <c r="A80" t="s">
        <v>337</v>
      </c>
      <c r="B80" t="s">
        <v>3652</v>
      </c>
      <c r="C80" t="s">
        <v>3652</v>
      </c>
      <c r="D80" t="s">
        <v>3652</v>
      </c>
      <c r="E80" t="s">
        <v>3652</v>
      </c>
      <c r="F80" t="s">
        <v>3652</v>
      </c>
      <c r="G80" t="str">
        <f t="shared" si="1"/>
        <v>Completed</v>
      </c>
    </row>
    <row r="81" spans="1:7">
      <c r="A81" t="s">
        <v>340</v>
      </c>
      <c r="B81" t="s">
        <v>3652</v>
      </c>
      <c r="C81" t="s">
        <v>3652</v>
      </c>
      <c r="D81" t="s">
        <v>3652</v>
      </c>
      <c r="E81" t="s">
        <v>3653</v>
      </c>
      <c r="F81" t="s">
        <v>3653</v>
      </c>
      <c r="G81" t="str">
        <f t="shared" si="1"/>
        <v>Pending</v>
      </c>
    </row>
    <row r="82" spans="1:7">
      <c r="A82" t="s">
        <v>343</v>
      </c>
      <c r="B82" t="s">
        <v>3652</v>
      </c>
      <c r="C82" t="s">
        <v>3652</v>
      </c>
      <c r="D82" t="s">
        <v>3653</v>
      </c>
      <c r="E82" t="s">
        <v>3652</v>
      </c>
      <c r="F82" t="s">
        <v>3652</v>
      </c>
      <c r="G82" t="str">
        <f t="shared" si="1"/>
        <v>Pending</v>
      </c>
    </row>
    <row r="83" spans="1:7">
      <c r="A83" t="s">
        <v>346</v>
      </c>
      <c r="B83" t="s">
        <v>3652</v>
      </c>
      <c r="C83" t="s">
        <v>3652</v>
      </c>
      <c r="D83" t="s">
        <v>3652</v>
      </c>
      <c r="E83" t="s">
        <v>3652</v>
      </c>
      <c r="F83" t="s">
        <v>3652</v>
      </c>
      <c r="G83" t="str">
        <f t="shared" si="1"/>
        <v>Completed</v>
      </c>
    </row>
    <row r="84" spans="1:7">
      <c r="A84" t="s">
        <v>349</v>
      </c>
      <c r="B84" t="s">
        <v>3652</v>
      </c>
      <c r="C84" t="s">
        <v>3652</v>
      </c>
      <c r="D84" t="s">
        <v>3652</v>
      </c>
      <c r="E84" t="s">
        <v>3652</v>
      </c>
      <c r="F84" t="s">
        <v>3652</v>
      </c>
      <c r="G84" t="str">
        <f t="shared" si="1"/>
        <v>Completed</v>
      </c>
    </row>
    <row r="85" spans="1:7">
      <c r="A85" t="s">
        <v>352</v>
      </c>
      <c r="B85" t="s">
        <v>3653</v>
      </c>
      <c r="C85" t="s">
        <v>3653</v>
      </c>
      <c r="D85" t="s">
        <v>3652</v>
      </c>
      <c r="E85" t="s">
        <v>3652</v>
      </c>
      <c r="F85" t="s">
        <v>3653</v>
      </c>
      <c r="G85" t="str">
        <f t="shared" si="1"/>
        <v>Pending</v>
      </c>
    </row>
    <row r="86" spans="1:7">
      <c r="A86" t="s">
        <v>355</v>
      </c>
      <c r="B86" t="s">
        <v>3652</v>
      </c>
      <c r="C86" t="s">
        <v>3652</v>
      </c>
      <c r="D86" t="s">
        <v>3652</v>
      </c>
      <c r="E86" t="s">
        <v>3653</v>
      </c>
      <c r="F86" t="s">
        <v>3652</v>
      </c>
      <c r="G86" t="str">
        <f t="shared" si="1"/>
        <v>Pending</v>
      </c>
    </row>
    <row r="87" spans="1:7">
      <c r="A87" t="s">
        <v>358</v>
      </c>
      <c r="B87" t="s">
        <v>3652</v>
      </c>
      <c r="C87" t="s">
        <v>3652</v>
      </c>
      <c r="D87" t="s">
        <v>3652</v>
      </c>
      <c r="E87" t="s">
        <v>3652</v>
      </c>
      <c r="F87" t="s">
        <v>3652</v>
      </c>
      <c r="G87" t="str">
        <f t="shared" si="1"/>
        <v>Completed</v>
      </c>
    </row>
    <row r="88" spans="1:7">
      <c r="A88" t="s">
        <v>361</v>
      </c>
      <c r="B88" t="s">
        <v>3652</v>
      </c>
      <c r="C88" t="s">
        <v>3652</v>
      </c>
      <c r="D88" t="s">
        <v>3652</v>
      </c>
      <c r="E88" t="s">
        <v>3652</v>
      </c>
      <c r="F88" t="s">
        <v>3652</v>
      </c>
      <c r="G88" t="str">
        <f t="shared" si="1"/>
        <v>Completed</v>
      </c>
    </row>
    <row r="89" spans="1:7">
      <c r="A89" t="s">
        <v>364</v>
      </c>
      <c r="B89" t="s">
        <v>3652</v>
      </c>
      <c r="C89" t="s">
        <v>3652</v>
      </c>
      <c r="D89" t="s">
        <v>3652</v>
      </c>
      <c r="E89" t="s">
        <v>3652</v>
      </c>
      <c r="F89" t="s">
        <v>3653</v>
      </c>
      <c r="G89" t="str">
        <f t="shared" si="1"/>
        <v>Pending</v>
      </c>
    </row>
    <row r="90" spans="1:7">
      <c r="A90" t="s">
        <v>367</v>
      </c>
      <c r="B90" t="s">
        <v>3652</v>
      </c>
      <c r="C90" t="s">
        <v>3652</v>
      </c>
      <c r="D90" t="s">
        <v>3652</v>
      </c>
      <c r="E90" t="s">
        <v>3652</v>
      </c>
      <c r="F90" t="s">
        <v>3652</v>
      </c>
      <c r="G90" t="str">
        <f t="shared" si="1"/>
        <v>Completed</v>
      </c>
    </row>
    <row r="91" spans="1:7">
      <c r="A91" t="s">
        <v>370</v>
      </c>
      <c r="B91" t="s">
        <v>3652</v>
      </c>
      <c r="C91" t="s">
        <v>3653</v>
      </c>
      <c r="D91" t="s">
        <v>3653</v>
      </c>
      <c r="E91" t="s">
        <v>3653</v>
      </c>
      <c r="F91" t="s">
        <v>3652</v>
      </c>
      <c r="G91" t="str">
        <f t="shared" si="1"/>
        <v>Pending</v>
      </c>
    </row>
    <row r="92" spans="1:7">
      <c r="A92" t="s">
        <v>373</v>
      </c>
      <c r="B92" t="s">
        <v>3653</v>
      </c>
      <c r="C92" t="s">
        <v>3652</v>
      </c>
      <c r="D92" t="s">
        <v>3652</v>
      </c>
      <c r="E92" t="s">
        <v>3652</v>
      </c>
      <c r="F92" t="s">
        <v>3652</v>
      </c>
      <c r="G92" t="str">
        <f t="shared" si="1"/>
        <v>Pending</v>
      </c>
    </row>
    <row r="93" spans="1:7">
      <c r="A93" t="s">
        <v>376</v>
      </c>
      <c r="B93" t="s">
        <v>3652</v>
      </c>
      <c r="C93" t="s">
        <v>3652</v>
      </c>
      <c r="D93" t="s">
        <v>3652</v>
      </c>
      <c r="E93" t="s">
        <v>3652</v>
      </c>
      <c r="F93" t="s">
        <v>3653</v>
      </c>
      <c r="G93" t="str">
        <f t="shared" si="1"/>
        <v>Pending</v>
      </c>
    </row>
    <row r="94" spans="1:7">
      <c r="A94" t="s">
        <v>379</v>
      </c>
      <c r="B94" t="s">
        <v>3652</v>
      </c>
      <c r="C94" t="s">
        <v>3652</v>
      </c>
      <c r="D94" t="s">
        <v>3652</v>
      </c>
      <c r="E94" t="s">
        <v>3652</v>
      </c>
      <c r="F94" t="s">
        <v>3652</v>
      </c>
      <c r="G94" t="str">
        <f t="shared" si="1"/>
        <v>Completed</v>
      </c>
    </row>
    <row r="95" spans="1:7">
      <c r="A95" t="s">
        <v>382</v>
      </c>
      <c r="B95" t="s">
        <v>3652</v>
      </c>
      <c r="C95" t="s">
        <v>3652</v>
      </c>
      <c r="D95" t="s">
        <v>3652</v>
      </c>
      <c r="E95" t="s">
        <v>3652</v>
      </c>
      <c r="F95" t="s">
        <v>3652</v>
      </c>
      <c r="G95" t="str">
        <f t="shared" si="1"/>
        <v>Completed</v>
      </c>
    </row>
    <row r="96" spans="1:7">
      <c r="A96" t="s">
        <v>385</v>
      </c>
      <c r="B96" t="s">
        <v>3652</v>
      </c>
      <c r="C96" t="s">
        <v>3652</v>
      </c>
      <c r="D96" t="s">
        <v>3652</v>
      </c>
      <c r="E96" t="s">
        <v>3653</v>
      </c>
      <c r="F96" t="s">
        <v>3652</v>
      </c>
      <c r="G96" t="str">
        <f t="shared" si="1"/>
        <v>Pending</v>
      </c>
    </row>
    <row r="97" spans="1:7">
      <c r="A97" t="s">
        <v>388</v>
      </c>
      <c r="B97" t="s">
        <v>3652</v>
      </c>
      <c r="C97" t="s">
        <v>3653</v>
      </c>
      <c r="D97" t="s">
        <v>3652</v>
      </c>
      <c r="E97" t="s">
        <v>3652</v>
      </c>
      <c r="F97" t="s">
        <v>3653</v>
      </c>
      <c r="G97" t="str">
        <f t="shared" si="1"/>
        <v>Pending</v>
      </c>
    </row>
    <row r="98" spans="1:7">
      <c r="A98" t="s">
        <v>391</v>
      </c>
      <c r="B98" t="s">
        <v>3652</v>
      </c>
      <c r="C98" t="s">
        <v>3652</v>
      </c>
      <c r="D98" t="s">
        <v>3652</v>
      </c>
      <c r="E98" t="s">
        <v>3652</v>
      </c>
      <c r="F98" t="s">
        <v>3652</v>
      </c>
      <c r="G98" t="str">
        <f t="shared" si="1"/>
        <v>Completed</v>
      </c>
    </row>
    <row r="99" spans="1:7">
      <c r="A99" t="s">
        <v>394</v>
      </c>
      <c r="B99" t="s">
        <v>3653</v>
      </c>
      <c r="C99" t="s">
        <v>3652</v>
      </c>
      <c r="D99" t="s">
        <v>3652</v>
      </c>
      <c r="E99" t="s">
        <v>3652</v>
      </c>
      <c r="F99" t="s">
        <v>3652</v>
      </c>
      <c r="G99" t="str">
        <f t="shared" si="1"/>
        <v>Pending</v>
      </c>
    </row>
    <row r="100" spans="1:7">
      <c r="A100" t="s">
        <v>397</v>
      </c>
      <c r="B100" t="s">
        <v>3652</v>
      </c>
      <c r="C100" t="s">
        <v>3652</v>
      </c>
      <c r="D100" t="s">
        <v>3653</v>
      </c>
      <c r="E100" t="s">
        <v>3652</v>
      </c>
      <c r="F100" t="s">
        <v>3652</v>
      </c>
      <c r="G100" t="str">
        <f t="shared" si="1"/>
        <v>Pending</v>
      </c>
    </row>
    <row r="101" spans="1:7">
      <c r="A101" t="s">
        <v>400</v>
      </c>
      <c r="B101" t="s">
        <v>3652</v>
      </c>
      <c r="C101" t="s">
        <v>3652</v>
      </c>
      <c r="D101" t="s">
        <v>3652</v>
      </c>
      <c r="E101" t="s">
        <v>3653</v>
      </c>
      <c r="F101" t="s">
        <v>3653</v>
      </c>
      <c r="G101" t="str">
        <f t="shared" si="1"/>
        <v>Pending</v>
      </c>
    </row>
    <row r="102" spans="1:7">
      <c r="A102" t="s">
        <v>403</v>
      </c>
      <c r="B102" t="s">
        <v>3652</v>
      </c>
      <c r="C102" t="s">
        <v>3652</v>
      </c>
      <c r="D102" t="s">
        <v>3652</v>
      </c>
      <c r="E102" t="s">
        <v>3652</v>
      </c>
      <c r="F102" t="s">
        <v>3652</v>
      </c>
      <c r="G102" t="str">
        <f t="shared" si="1"/>
        <v>Completed</v>
      </c>
    </row>
    <row r="103" spans="1:7">
      <c r="A103" t="s">
        <v>406</v>
      </c>
      <c r="B103" t="s">
        <v>3652</v>
      </c>
      <c r="C103" t="s">
        <v>3653</v>
      </c>
      <c r="D103" t="s">
        <v>3652</v>
      </c>
      <c r="E103" t="s">
        <v>3652</v>
      </c>
      <c r="F103" t="s">
        <v>3652</v>
      </c>
      <c r="G103" t="str">
        <f t="shared" si="1"/>
        <v>Pending</v>
      </c>
    </row>
    <row r="104" spans="1:7">
      <c r="A104" t="s">
        <v>409</v>
      </c>
      <c r="B104" t="s">
        <v>3652</v>
      </c>
      <c r="C104" t="s">
        <v>3652</v>
      </c>
      <c r="D104" t="s">
        <v>3652</v>
      </c>
      <c r="E104" t="s">
        <v>3652</v>
      </c>
      <c r="F104" t="s">
        <v>3652</v>
      </c>
      <c r="G104" t="str">
        <f t="shared" si="1"/>
        <v>Completed</v>
      </c>
    </row>
    <row r="105" spans="1:7">
      <c r="A105" t="s">
        <v>412</v>
      </c>
      <c r="B105" t="s">
        <v>3652</v>
      </c>
      <c r="C105" t="s">
        <v>3652</v>
      </c>
      <c r="D105" t="s">
        <v>3652</v>
      </c>
      <c r="E105" t="s">
        <v>3652</v>
      </c>
      <c r="F105" t="s">
        <v>3653</v>
      </c>
      <c r="G105" t="str">
        <f t="shared" si="1"/>
        <v>Pending</v>
      </c>
    </row>
    <row r="106" spans="1:7">
      <c r="A106" t="s">
        <v>415</v>
      </c>
      <c r="B106" t="s">
        <v>3653</v>
      </c>
      <c r="C106" t="s">
        <v>3652</v>
      </c>
      <c r="D106" t="s">
        <v>3652</v>
      </c>
      <c r="E106" t="s">
        <v>3653</v>
      </c>
      <c r="F106" t="s">
        <v>3652</v>
      </c>
      <c r="G106" t="str">
        <f t="shared" si="1"/>
        <v>Pending</v>
      </c>
    </row>
    <row r="107" spans="1:7">
      <c r="A107" t="s">
        <v>418</v>
      </c>
      <c r="B107" t="s">
        <v>3652</v>
      </c>
      <c r="C107" t="s">
        <v>3652</v>
      </c>
      <c r="D107" t="s">
        <v>3652</v>
      </c>
      <c r="E107" t="s">
        <v>3652</v>
      </c>
      <c r="F107" t="s">
        <v>3652</v>
      </c>
      <c r="G107" t="str">
        <f t="shared" si="1"/>
        <v>Completed</v>
      </c>
    </row>
    <row r="108" spans="1:7">
      <c r="A108" t="s">
        <v>421</v>
      </c>
      <c r="B108" t="s">
        <v>3652</v>
      </c>
      <c r="C108" t="s">
        <v>3652</v>
      </c>
      <c r="D108" t="s">
        <v>3652</v>
      </c>
      <c r="E108" t="s">
        <v>3652</v>
      </c>
      <c r="F108" t="s">
        <v>3652</v>
      </c>
      <c r="G108" t="str">
        <f t="shared" si="1"/>
        <v>Completed</v>
      </c>
    </row>
    <row r="109" spans="1:7">
      <c r="A109" t="s">
        <v>424</v>
      </c>
      <c r="B109" t="s">
        <v>3652</v>
      </c>
      <c r="C109" t="s">
        <v>3653</v>
      </c>
      <c r="D109" t="s">
        <v>3653</v>
      </c>
      <c r="E109" t="s">
        <v>3652</v>
      </c>
      <c r="F109" t="s">
        <v>3653</v>
      </c>
      <c r="G109" t="str">
        <f t="shared" si="1"/>
        <v>Pending</v>
      </c>
    </row>
    <row r="110" spans="1:7">
      <c r="A110" t="s">
        <v>427</v>
      </c>
      <c r="B110" t="s">
        <v>3652</v>
      </c>
      <c r="C110" t="s">
        <v>3652</v>
      </c>
      <c r="D110" t="s">
        <v>3652</v>
      </c>
      <c r="E110" t="s">
        <v>3652</v>
      </c>
      <c r="F110" t="s">
        <v>3652</v>
      </c>
      <c r="G110" t="str">
        <f t="shared" si="1"/>
        <v>Completed</v>
      </c>
    </row>
    <row r="111" spans="1:7">
      <c r="A111" t="s">
        <v>430</v>
      </c>
      <c r="B111" t="s">
        <v>3652</v>
      </c>
      <c r="C111" t="s">
        <v>3652</v>
      </c>
      <c r="D111" t="s">
        <v>3652</v>
      </c>
      <c r="E111" t="s">
        <v>3653</v>
      </c>
      <c r="F111" t="s">
        <v>3652</v>
      </c>
      <c r="G111" t="str">
        <f t="shared" si="1"/>
        <v>Pending</v>
      </c>
    </row>
    <row r="112" spans="1:7">
      <c r="A112" t="s">
        <v>433</v>
      </c>
      <c r="B112" t="s">
        <v>3652</v>
      </c>
      <c r="C112" t="s">
        <v>3652</v>
      </c>
      <c r="D112" t="s">
        <v>3652</v>
      </c>
      <c r="E112" t="s">
        <v>3652</v>
      </c>
      <c r="F112" t="s">
        <v>3652</v>
      </c>
      <c r="G112" t="str">
        <f t="shared" si="1"/>
        <v>Completed</v>
      </c>
    </row>
    <row r="113" spans="1:7">
      <c r="A113" t="s">
        <v>436</v>
      </c>
      <c r="B113" t="s">
        <v>3653</v>
      </c>
      <c r="C113" t="s">
        <v>3652</v>
      </c>
      <c r="D113" t="s">
        <v>3652</v>
      </c>
      <c r="E113" t="s">
        <v>3652</v>
      </c>
      <c r="F113" t="s">
        <v>3653</v>
      </c>
      <c r="G113" t="str">
        <f t="shared" si="1"/>
        <v>Pending</v>
      </c>
    </row>
    <row r="114" spans="1:7">
      <c r="A114" t="s">
        <v>439</v>
      </c>
      <c r="B114" t="s">
        <v>3652</v>
      </c>
      <c r="C114" t="s">
        <v>3652</v>
      </c>
      <c r="D114" t="s">
        <v>3652</v>
      </c>
      <c r="E114" t="s">
        <v>3652</v>
      </c>
      <c r="F114" t="s">
        <v>3652</v>
      </c>
      <c r="G114" t="str">
        <f t="shared" si="1"/>
        <v>Completed</v>
      </c>
    </row>
    <row r="115" spans="1:7">
      <c r="A115" t="s">
        <v>442</v>
      </c>
      <c r="B115" t="s">
        <v>3652</v>
      </c>
      <c r="C115" t="s">
        <v>3653</v>
      </c>
      <c r="D115" t="s">
        <v>3652</v>
      </c>
      <c r="E115" t="s">
        <v>3652</v>
      </c>
      <c r="F115" t="s">
        <v>3652</v>
      </c>
      <c r="G115" t="str">
        <f t="shared" si="1"/>
        <v>Pending</v>
      </c>
    </row>
    <row r="116" spans="1:7">
      <c r="A116" t="s">
        <v>445</v>
      </c>
      <c r="B116" t="s">
        <v>3652</v>
      </c>
      <c r="C116" t="s">
        <v>3652</v>
      </c>
      <c r="D116" t="s">
        <v>3652</v>
      </c>
      <c r="E116" t="s">
        <v>3653</v>
      </c>
      <c r="F116" t="s">
        <v>3652</v>
      </c>
      <c r="G116" t="str">
        <f t="shared" si="1"/>
        <v>Pending</v>
      </c>
    </row>
    <row r="117" spans="1:7">
      <c r="A117" t="s">
        <v>448</v>
      </c>
      <c r="B117" t="s">
        <v>3652</v>
      </c>
      <c r="C117" t="s">
        <v>3652</v>
      </c>
      <c r="D117" t="s">
        <v>3652</v>
      </c>
      <c r="E117" t="s">
        <v>3652</v>
      </c>
      <c r="F117" t="s">
        <v>3653</v>
      </c>
      <c r="G117" t="str">
        <f t="shared" si="1"/>
        <v>Pending</v>
      </c>
    </row>
    <row r="118" spans="1:7">
      <c r="A118" t="s">
        <v>451</v>
      </c>
      <c r="B118" t="s">
        <v>3652</v>
      </c>
      <c r="C118" t="s">
        <v>3652</v>
      </c>
      <c r="D118" t="s">
        <v>3653</v>
      </c>
      <c r="E118" t="s">
        <v>3652</v>
      </c>
      <c r="F118" t="s">
        <v>3652</v>
      </c>
      <c r="G118" t="str">
        <f t="shared" si="1"/>
        <v>Pending</v>
      </c>
    </row>
    <row r="119" spans="1:7">
      <c r="A119" t="s">
        <v>454</v>
      </c>
      <c r="B119" t="s">
        <v>3652</v>
      </c>
      <c r="C119" t="s">
        <v>3652</v>
      </c>
      <c r="D119" t="s">
        <v>3652</v>
      </c>
      <c r="E119" t="s">
        <v>3652</v>
      </c>
      <c r="F119" t="s">
        <v>3652</v>
      </c>
      <c r="G119" t="str">
        <f t="shared" si="1"/>
        <v>Completed</v>
      </c>
    </row>
    <row r="120" spans="1:7">
      <c r="A120" t="s">
        <v>457</v>
      </c>
      <c r="B120" t="s">
        <v>3653</v>
      </c>
      <c r="C120" t="s">
        <v>3652</v>
      </c>
      <c r="D120" t="s">
        <v>3652</v>
      </c>
      <c r="E120" t="s">
        <v>3652</v>
      </c>
      <c r="F120" t="s">
        <v>3652</v>
      </c>
      <c r="G120" t="str">
        <f t="shared" si="1"/>
        <v>Pending</v>
      </c>
    </row>
    <row r="121" spans="1:7">
      <c r="A121" t="s">
        <v>460</v>
      </c>
      <c r="B121" t="s">
        <v>3652</v>
      </c>
      <c r="C121" t="s">
        <v>3653</v>
      </c>
      <c r="D121" t="s">
        <v>3652</v>
      </c>
      <c r="E121" t="s">
        <v>3653</v>
      </c>
      <c r="F121" t="s">
        <v>3653</v>
      </c>
      <c r="G121" t="str">
        <f t="shared" si="1"/>
        <v>Pending</v>
      </c>
    </row>
    <row r="122" spans="1:7">
      <c r="A122" t="s">
        <v>463</v>
      </c>
      <c r="B122" t="s">
        <v>3652</v>
      </c>
      <c r="C122" t="s">
        <v>3652</v>
      </c>
      <c r="D122" t="s">
        <v>3652</v>
      </c>
      <c r="E122" t="s">
        <v>3652</v>
      </c>
      <c r="F122" t="s">
        <v>3652</v>
      </c>
      <c r="G122" t="str">
        <f t="shared" si="1"/>
        <v>Completed</v>
      </c>
    </row>
    <row r="123" spans="1:7">
      <c r="A123" t="s">
        <v>466</v>
      </c>
      <c r="B123" t="s">
        <v>3652</v>
      </c>
      <c r="C123" t="s">
        <v>3652</v>
      </c>
      <c r="D123" t="s">
        <v>3652</v>
      </c>
      <c r="E123" t="s">
        <v>3652</v>
      </c>
      <c r="F123" t="s">
        <v>3652</v>
      </c>
      <c r="G123" t="str">
        <f t="shared" si="1"/>
        <v>Completed</v>
      </c>
    </row>
    <row r="124" spans="1:7">
      <c r="A124" t="s">
        <v>469</v>
      </c>
      <c r="B124" t="s">
        <v>3652</v>
      </c>
      <c r="C124" t="s">
        <v>3652</v>
      </c>
      <c r="D124" t="s">
        <v>3652</v>
      </c>
      <c r="E124" t="s">
        <v>3652</v>
      </c>
      <c r="F124" t="s">
        <v>3652</v>
      </c>
      <c r="G124" t="str">
        <f t="shared" si="1"/>
        <v>Completed</v>
      </c>
    </row>
    <row r="125" spans="1:7">
      <c r="A125" t="s">
        <v>472</v>
      </c>
      <c r="B125" t="s">
        <v>3652</v>
      </c>
      <c r="C125" t="s">
        <v>3652</v>
      </c>
      <c r="D125" t="s">
        <v>3652</v>
      </c>
      <c r="E125" t="s">
        <v>3652</v>
      </c>
      <c r="F125" t="s">
        <v>3653</v>
      </c>
      <c r="G125" t="str">
        <f t="shared" si="1"/>
        <v>Pending</v>
      </c>
    </row>
    <row r="126" spans="1:7">
      <c r="A126" t="s">
        <v>475</v>
      </c>
      <c r="B126" t="s">
        <v>3652</v>
      </c>
      <c r="C126" t="s">
        <v>3652</v>
      </c>
      <c r="D126" t="s">
        <v>3652</v>
      </c>
      <c r="E126" t="s">
        <v>3653</v>
      </c>
      <c r="F126" t="s">
        <v>3652</v>
      </c>
      <c r="G126" t="str">
        <f t="shared" si="1"/>
        <v>Pending</v>
      </c>
    </row>
    <row r="127" spans="1:7">
      <c r="A127" t="s">
        <v>478</v>
      </c>
      <c r="B127" t="s">
        <v>3653</v>
      </c>
      <c r="C127" t="s">
        <v>3653</v>
      </c>
      <c r="D127" t="s">
        <v>3653</v>
      </c>
      <c r="E127" t="s">
        <v>3652</v>
      </c>
      <c r="F127" t="s">
        <v>3652</v>
      </c>
      <c r="G127" t="str">
        <f t="shared" si="1"/>
        <v>Pending</v>
      </c>
    </row>
    <row r="128" spans="1:7">
      <c r="A128" t="s">
        <v>481</v>
      </c>
      <c r="B128" t="s">
        <v>3652</v>
      </c>
      <c r="C128" t="s">
        <v>3652</v>
      </c>
      <c r="D128" t="s">
        <v>3652</v>
      </c>
      <c r="E128" t="s">
        <v>3652</v>
      </c>
      <c r="F128" t="s">
        <v>3652</v>
      </c>
      <c r="G128" t="str">
        <f t="shared" si="1"/>
        <v>Completed</v>
      </c>
    </row>
    <row r="129" spans="1:7">
      <c r="A129" t="s">
        <v>484</v>
      </c>
      <c r="B129" t="s">
        <v>3652</v>
      </c>
      <c r="C129" t="s">
        <v>3652</v>
      </c>
      <c r="D129" t="s">
        <v>3652</v>
      </c>
      <c r="E129" t="s">
        <v>3652</v>
      </c>
      <c r="F129" t="s">
        <v>3653</v>
      </c>
      <c r="G129" t="str">
        <f t="shared" si="1"/>
        <v>Pending</v>
      </c>
    </row>
    <row r="130" spans="1:7">
      <c r="A130" t="s">
        <v>487</v>
      </c>
      <c r="B130" t="s">
        <v>3652</v>
      </c>
      <c r="C130" t="s">
        <v>3652</v>
      </c>
      <c r="D130" t="s">
        <v>3652</v>
      </c>
      <c r="E130" t="s">
        <v>3652</v>
      </c>
      <c r="F130" t="s">
        <v>3652</v>
      </c>
      <c r="G130" t="str">
        <f t="shared" ref="G130:G193" si="2">IF(AND(B130="Yes",C130="Yes",D130="Yes",E130="Yes",F130="Yes"),"Completed","Pending")</f>
        <v>Completed</v>
      </c>
    </row>
    <row r="131" spans="1:7">
      <c r="A131" t="s">
        <v>490</v>
      </c>
      <c r="B131" t="s">
        <v>3652</v>
      </c>
      <c r="C131" t="s">
        <v>3652</v>
      </c>
      <c r="D131" t="s">
        <v>3652</v>
      </c>
      <c r="E131" t="s">
        <v>3653</v>
      </c>
      <c r="F131" t="s">
        <v>3652</v>
      </c>
      <c r="G131" t="str">
        <f t="shared" si="2"/>
        <v>Pending</v>
      </c>
    </row>
    <row r="132" spans="1:7">
      <c r="A132" t="s">
        <v>493</v>
      </c>
      <c r="B132" t="s">
        <v>3652</v>
      </c>
      <c r="C132" t="s">
        <v>3652</v>
      </c>
      <c r="D132" t="s">
        <v>3652</v>
      </c>
      <c r="E132" t="s">
        <v>3652</v>
      </c>
      <c r="F132" t="s">
        <v>3652</v>
      </c>
      <c r="G132" t="str">
        <f t="shared" si="2"/>
        <v>Completed</v>
      </c>
    </row>
    <row r="133" spans="1:7">
      <c r="A133" t="s">
        <v>496</v>
      </c>
      <c r="B133" t="s">
        <v>3652</v>
      </c>
      <c r="C133" t="s">
        <v>3653</v>
      </c>
      <c r="D133" t="s">
        <v>3652</v>
      </c>
      <c r="E133" t="s">
        <v>3652</v>
      </c>
      <c r="F133" t="s">
        <v>3653</v>
      </c>
      <c r="G133" t="str">
        <f t="shared" si="2"/>
        <v>Pending</v>
      </c>
    </row>
    <row r="134" spans="1:7">
      <c r="A134" t="s">
        <v>499</v>
      </c>
      <c r="B134" t="s">
        <v>3653</v>
      </c>
      <c r="C134" t="s">
        <v>3652</v>
      </c>
      <c r="D134" t="s">
        <v>3652</v>
      </c>
      <c r="E134" t="s">
        <v>3652</v>
      </c>
      <c r="F134" t="s">
        <v>3652</v>
      </c>
      <c r="G134" t="str">
        <f t="shared" si="2"/>
        <v>Pending</v>
      </c>
    </row>
    <row r="135" spans="1:7">
      <c r="A135" t="s">
        <v>502</v>
      </c>
      <c r="B135" t="s">
        <v>3652</v>
      </c>
      <c r="C135" t="s">
        <v>3652</v>
      </c>
      <c r="D135" t="s">
        <v>3652</v>
      </c>
      <c r="E135" t="s">
        <v>3652</v>
      </c>
      <c r="F135" t="s">
        <v>3652</v>
      </c>
      <c r="G135" t="str">
        <f t="shared" si="2"/>
        <v>Completed</v>
      </c>
    </row>
    <row r="136" spans="1:7">
      <c r="A136" t="s">
        <v>505</v>
      </c>
      <c r="B136" t="s">
        <v>3652</v>
      </c>
      <c r="C136" t="s">
        <v>3652</v>
      </c>
      <c r="D136" t="s">
        <v>3653</v>
      </c>
      <c r="E136" t="s">
        <v>3653</v>
      </c>
      <c r="F136" t="s">
        <v>3652</v>
      </c>
      <c r="G136" t="str">
        <f t="shared" si="2"/>
        <v>Pending</v>
      </c>
    </row>
    <row r="137" spans="1:7">
      <c r="A137" t="s">
        <v>508</v>
      </c>
      <c r="B137" t="s">
        <v>3652</v>
      </c>
      <c r="C137" t="s">
        <v>3652</v>
      </c>
      <c r="D137" t="s">
        <v>3652</v>
      </c>
      <c r="E137" t="s">
        <v>3652</v>
      </c>
      <c r="F137" t="s">
        <v>3653</v>
      </c>
      <c r="G137" t="str">
        <f t="shared" si="2"/>
        <v>Pending</v>
      </c>
    </row>
    <row r="138" spans="1:7">
      <c r="A138" t="s">
        <v>511</v>
      </c>
      <c r="B138" t="s">
        <v>3652</v>
      </c>
      <c r="C138" t="s">
        <v>3652</v>
      </c>
      <c r="D138" t="s">
        <v>3652</v>
      </c>
      <c r="E138" t="s">
        <v>3652</v>
      </c>
      <c r="F138" t="s">
        <v>3652</v>
      </c>
      <c r="G138" t="str">
        <f t="shared" si="2"/>
        <v>Completed</v>
      </c>
    </row>
    <row r="139" spans="1:7">
      <c r="A139" t="s">
        <v>514</v>
      </c>
      <c r="B139" t="s">
        <v>3652</v>
      </c>
      <c r="C139" t="s">
        <v>3653</v>
      </c>
      <c r="D139" t="s">
        <v>3652</v>
      </c>
      <c r="E139" t="s">
        <v>3652</v>
      </c>
      <c r="F139" t="s">
        <v>3652</v>
      </c>
      <c r="G139" t="str">
        <f t="shared" si="2"/>
        <v>Pending</v>
      </c>
    </row>
    <row r="140" spans="1:7">
      <c r="A140" t="s">
        <v>517</v>
      </c>
      <c r="B140" t="s">
        <v>3652</v>
      </c>
      <c r="C140" t="s">
        <v>3652</v>
      </c>
      <c r="D140" t="s">
        <v>3652</v>
      </c>
      <c r="E140" t="s">
        <v>3652</v>
      </c>
      <c r="F140" t="s">
        <v>3652</v>
      </c>
      <c r="G140" t="str">
        <f t="shared" si="2"/>
        <v>Completed</v>
      </c>
    </row>
    <row r="141" spans="1:7">
      <c r="A141" t="s">
        <v>520</v>
      </c>
      <c r="B141" t="s">
        <v>3653</v>
      </c>
      <c r="C141" t="s">
        <v>3652</v>
      </c>
      <c r="D141" t="s">
        <v>3652</v>
      </c>
      <c r="E141" t="s">
        <v>3653</v>
      </c>
      <c r="F141" t="s">
        <v>3653</v>
      </c>
      <c r="G141" t="str">
        <f t="shared" si="2"/>
        <v>Pending</v>
      </c>
    </row>
    <row r="142" spans="1:7">
      <c r="A142" t="s">
        <v>523</v>
      </c>
      <c r="B142" t="s">
        <v>3652</v>
      </c>
      <c r="C142" t="s">
        <v>3652</v>
      </c>
      <c r="D142" t="s">
        <v>3652</v>
      </c>
      <c r="E142" t="s">
        <v>3652</v>
      </c>
      <c r="F142" t="s">
        <v>3652</v>
      </c>
      <c r="G142" t="str">
        <f t="shared" si="2"/>
        <v>Completed</v>
      </c>
    </row>
    <row r="143" spans="1:7">
      <c r="A143" t="s">
        <v>526</v>
      </c>
      <c r="B143" t="s">
        <v>3652</v>
      </c>
      <c r="C143" t="s">
        <v>3652</v>
      </c>
      <c r="D143" t="s">
        <v>3652</v>
      </c>
      <c r="E143" t="s">
        <v>3652</v>
      </c>
      <c r="F143" t="s">
        <v>3652</v>
      </c>
      <c r="G143" t="str">
        <f t="shared" si="2"/>
        <v>Completed</v>
      </c>
    </row>
    <row r="144" spans="1:7">
      <c r="A144" t="s">
        <v>529</v>
      </c>
      <c r="B144" t="s">
        <v>3652</v>
      </c>
      <c r="C144" t="s">
        <v>3652</v>
      </c>
      <c r="D144" t="s">
        <v>3652</v>
      </c>
      <c r="E144" t="s">
        <v>3652</v>
      </c>
      <c r="F144" t="s">
        <v>3652</v>
      </c>
      <c r="G144" t="str">
        <f t="shared" si="2"/>
        <v>Completed</v>
      </c>
    </row>
    <row r="145" spans="1:7">
      <c r="A145" t="s">
        <v>532</v>
      </c>
      <c r="B145" t="s">
        <v>3652</v>
      </c>
      <c r="C145" t="s">
        <v>3653</v>
      </c>
      <c r="D145" t="s">
        <v>3653</v>
      </c>
      <c r="E145" t="s">
        <v>3652</v>
      </c>
      <c r="F145" t="s">
        <v>3653</v>
      </c>
      <c r="G145" t="str">
        <f t="shared" si="2"/>
        <v>Pending</v>
      </c>
    </row>
    <row r="146" spans="1:7">
      <c r="A146" t="s">
        <v>535</v>
      </c>
      <c r="B146" t="s">
        <v>3652</v>
      </c>
      <c r="C146" t="s">
        <v>3652</v>
      </c>
      <c r="D146" t="s">
        <v>3652</v>
      </c>
      <c r="E146" t="s">
        <v>3653</v>
      </c>
      <c r="F146" t="s">
        <v>3652</v>
      </c>
      <c r="G146" t="str">
        <f t="shared" si="2"/>
        <v>Pending</v>
      </c>
    </row>
    <row r="147" spans="1:7">
      <c r="A147" t="s">
        <v>538</v>
      </c>
      <c r="B147" t="s">
        <v>3652</v>
      </c>
      <c r="C147" t="s">
        <v>3652</v>
      </c>
      <c r="D147" t="s">
        <v>3652</v>
      </c>
      <c r="E147" t="s">
        <v>3652</v>
      </c>
      <c r="F147" t="s">
        <v>3652</v>
      </c>
      <c r="G147" t="str">
        <f t="shared" si="2"/>
        <v>Completed</v>
      </c>
    </row>
    <row r="148" spans="1:7">
      <c r="A148" t="s">
        <v>541</v>
      </c>
      <c r="B148" t="s">
        <v>3653</v>
      </c>
      <c r="C148" t="s">
        <v>3652</v>
      </c>
      <c r="D148" t="s">
        <v>3652</v>
      </c>
      <c r="E148" t="s">
        <v>3652</v>
      </c>
      <c r="F148" t="s">
        <v>3652</v>
      </c>
      <c r="G148" t="str">
        <f t="shared" si="2"/>
        <v>Pending</v>
      </c>
    </row>
    <row r="149" spans="1:7">
      <c r="A149" t="s">
        <v>544</v>
      </c>
      <c r="B149" t="s">
        <v>3652</v>
      </c>
      <c r="C149" t="s">
        <v>3652</v>
      </c>
      <c r="D149" t="s">
        <v>3652</v>
      </c>
      <c r="E149" t="s">
        <v>3652</v>
      </c>
      <c r="F149" t="s">
        <v>3653</v>
      </c>
      <c r="G149" t="str">
        <f t="shared" si="2"/>
        <v>Pending</v>
      </c>
    </row>
    <row r="150" spans="1:7">
      <c r="A150" t="s">
        <v>547</v>
      </c>
      <c r="B150" t="s">
        <v>3652</v>
      </c>
      <c r="C150" t="s">
        <v>3652</v>
      </c>
      <c r="D150" t="s">
        <v>3652</v>
      </c>
      <c r="E150" t="s">
        <v>3652</v>
      </c>
      <c r="F150" t="s">
        <v>3652</v>
      </c>
      <c r="G150" t="str">
        <f t="shared" si="2"/>
        <v>Completed</v>
      </c>
    </row>
    <row r="151" spans="1:7">
      <c r="A151" t="s">
        <v>550</v>
      </c>
      <c r="B151" t="s">
        <v>3652</v>
      </c>
      <c r="C151" t="s">
        <v>3653</v>
      </c>
      <c r="D151" t="s">
        <v>3652</v>
      </c>
      <c r="E151" t="s">
        <v>3653</v>
      </c>
      <c r="F151" t="s">
        <v>3652</v>
      </c>
      <c r="G151" t="str">
        <f t="shared" si="2"/>
        <v>Pending</v>
      </c>
    </row>
    <row r="152" spans="1:7">
      <c r="A152" t="s">
        <v>553</v>
      </c>
      <c r="B152" t="s">
        <v>3652</v>
      </c>
      <c r="C152" t="s">
        <v>3652</v>
      </c>
      <c r="D152" t="s">
        <v>3652</v>
      </c>
      <c r="E152" t="s">
        <v>3652</v>
      </c>
      <c r="F152" t="s">
        <v>3652</v>
      </c>
      <c r="G152" t="str">
        <f t="shared" si="2"/>
        <v>Completed</v>
      </c>
    </row>
    <row r="153" spans="1:7">
      <c r="A153" t="s">
        <v>556</v>
      </c>
      <c r="B153" t="s">
        <v>3652</v>
      </c>
      <c r="C153" t="s">
        <v>3652</v>
      </c>
      <c r="D153" t="s">
        <v>3652</v>
      </c>
      <c r="E153" t="s">
        <v>3652</v>
      </c>
      <c r="F153" t="s">
        <v>3653</v>
      </c>
      <c r="G153" t="str">
        <f t="shared" si="2"/>
        <v>Pending</v>
      </c>
    </row>
    <row r="154" spans="1:7">
      <c r="A154" t="s">
        <v>559</v>
      </c>
      <c r="B154" t="s">
        <v>3652</v>
      </c>
      <c r="C154" t="s">
        <v>3652</v>
      </c>
      <c r="D154" t="s">
        <v>3653</v>
      </c>
      <c r="E154" t="s">
        <v>3652</v>
      </c>
      <c r="F154" t="s">
        <v>3652</v>
      </c>
      <c r="G154" t="str">
        <f t="shared" si="2"/>
        <v>Pending</v>
      </c>
    </row>
    <row r="155" spans="1:7">
      <c r="A155" t="s">
        <v>562</v>
      </c>
      <c r="B155" t="s">
        <v>3653</v>
      </c>
      <c r="C155" t="s">
        <v>3652</v>
      </c>
      <c r="D155" t="s">
        <v>3652</v>
      </c>
      <c r="E155" t="s">
        <v>3652</v>
      </c>
      <c r="F155" t="s">
        <v>3652</v>
      </c>
      <c r="G155" t="str">
        <f t="shared" si="2"/>
        <v>Pending</v>
      </c>
    </row>
    <row r="156" spans="1:7">
      <c r="A156" t="s">
        <v>565</v>
      </c>
      <c r="B156" t="s">
        <v>3652</v>
      </c>
      <c r="C156" t="s">
        <v>3652</v>
      </c>
      <c r="D156" t="s">
        <v>3652</v>
      </c>
      <c r="E156" t="s">
        <v>3653</v>
      </c>
      <c r="F156" t="s">
        <v>3652</v>
      </c>
      <c r="G156" t="str">
        <f t="shared" si="2"/>
        <v>Pending</v>
      </c>
    </row>
    <row r="157" spans="1:7">
      <c r="A157" t="s">
        <v>568</v>
      </c>
      <c r="B157" t="s">
        <v>3652</v>
      </c>
      <c r="C157" t="s">
        <v>3653</v>
      </c>
      <c r="D157" t="s">
        <v>3652</v>
      </c>
      <c r="E157" t="s">
        <v>3652</v>
      </c>
      <c r="F157" t="s">
        <v>3653</v>
      </c>
      <c r="G157" t="str">
        <f t="shared" si="2"/>
        <v>Pending</v>
      </c>
    </row>
    <row r="158" spans="1:7">
      <c r="A158" t="s">
        <v>571</v>
      </c>
      <c r="B158" t="s">
        <v>3652</v>
      </c>
      <c r="C158" t="s">
        <v>3652</v>
      </c>
      <c r="D158" t="s">
        <v>3652</v>
      </c>
      <c r="E158" t="s">
        <v>3652</v>
      </c>
      <c r="F158" t="s">
        <v>3652</v>
      </c>
      <c r="G158" t="str">
        <f t="shared" si="2"/>
        <v>Completed</v>
      </c>
    </row>
    <row r="159" spans="1:7">
      <c r="A159" t="s">
        <v>574</v>
      </c>
      <c r="B159" t="s">
        <v>3652</v>
      </c>
      <c r="C159" t="s">
        <v>3652</v>
      </c>
      <c r="D159" t="s">
        <v>3652</v>
      </c>
      <c r="E159" t="s">
        <v>3652</v>
      </c>
      <c r="F159" t="s">
        <v>3652</v>
      </c>
      <c r="G159" t="str">
        <f t="shared" si="2"/>
        <v>Completed</v>
      </c>
    </row>
    <row r="160" spans="1:7">
      <c r="A160" t="s">
        <v>577</v>
      </c>
      <c r="B160" t="s">
        <v>3652</v>
      </c>
      <c r="C160" t="s">
        <v>3652</v>
      </c>
      <c r="D160" t="s">
        <v>3652</v>
      </c>
      <c r="E160" t="s">
        <v>3652</v>
      </c>
      <c r="F160" t="s">
        <v>3652</v>
      </c>
      <c r="G160" t="str">
        <f t="shared" si="2"/>
        <v>Completed</v>
      </c>
    </row>
    <row r="161" spans="1:7">
      <c r="A161" t="s">
        <v>580</v>
      </c>
      <c r="B161" t="s">
        <v>3652</v>
      </c>
      <c r="C161" t="s">
        <v>3652</v>
      </c>
      <c r="D161" t="s">
        <v>3652</v>
      </c>
      <c r="E161" t="s">
        <v>3653</v>
      </c>
      <c r="F161" t="s">
        <v>3653</v>
      </c>
      <c r="G161" t="str">
        <f t="shared" si="2"/>
        <v>Pending</v>
      </c>
    </row>
    <row r="162" spans="1:7">
      <c r="A162" t="s">
        <v>583</v>
      </c>
      <c r="B162" t="s">
        <v>3653</v>
      </c>
      <c r="C162" t="s">
        <v>3652</v>
      </c>
      <c r="D162" t="s">
        <v>3652</v>
      </c>
      <c r="E162" t="s">
        <v>3652</v>
      </c>
      <c r="F162" t="s">
        <v>3652</v>
      </c>
      <c r="G162" t="str">
        <f t="shared" si="2"/>
        <v>Pending</v>
      </c>
    </row>
    <row r="163" spans="1:7">
      <c r="A163" t="s">
        <v>586</v>
      </c>
      <c r="B163" t="s">
        <v>3652</v>
      </c>
      <c r="C163" t="s">
        <v>3653</v>
      </c>
      <c r="D163" t="s">
        <v>3653</v>
      </c>
      <c r="E163" t="s">
        <v>3652</v>
      </c>
      <c r="F163" t="s">
        <v>3652</v>
      </c>
      <c r="G163" t="str">
        <f t="shared" si="2"/>
        <v>Pending</v>
      </c>
    </row>
    <row r="164" spans="1:7">
      <c r="A164" t="s">
        <v>589</v>
      </c>
      <c r="B164" t="s">
        <v>3652</v>
      </c>
      <c r="C164" t="s">
        <v>3652</v>
      </c>
      <c r="D164" t="s">
        <v>3652</v>
      </c>
      <c r="E164" t="s">
        <v>3652</v>
      </c>
      <c r="F164" t="s">
        <v>3652</v>
      </c>
      <c r="G164" t="str">
        <f t="shared" si="2"/>
        <v>Completed</v>
      </c>
    </row>
    <row r="165" spans="1:7">
      <c r="A165" t="s">
        <v>592</v>
      </c>
      <c r="B165" t="s">
        <v>3652</v>
      </c>
      <c r="C165" t="s">
        <v>3652</v>
      </c>
      <c r="D165" t="s">
        <v>3652</v>
      </c>
      <c r="E165" t="s">
        <v>3652</v>
      </c>
      <c r="F165" t="s">
        <v>3653</v>
      </c>
      <c r="G165" t="str">
        <f t="shared" si="2"/>
        <v>Pending</v>
      </c>
    </row>
    <row r="166" spans="1:7">
      <c r="A166" t="s">
        <v>595</v>
      </c>
      <c r="B166" t="s">
        <v>3652</v>
      </c>
      <c r="C166" t="s">
        <v>3652</v>
      </c>
      <c r="D166" t="s">
        <v>3652</v>
      </c>
      <c r="E166" t="s">
        <v>3653</v>
      </c>
      <c r="F166" t="s">
        <v>3652</v>
      </c>
      <c r="G166" t="str">
        <f t="shared" si="2"/>
        <v>Pending</v>
      </c>
    </row>
    <row r="167" spans="1:7">
      <c r="A167" t="s">
        <v>598</v>
      </c>
      <c r="B167" t="s">
        <v>3652</v>
      </c>
      <c r="C167" t="s">
        <v>3652</v>
      </c>
      <c r="D167" t="s">
        <v>3652</v>
      </c>
      <c r="E167" t="s">
        <v>3652</v>
      </c>
      <c r="F167" t="s">
        <v>3652</v>
      </c>
      <c r="G167" t="str">
        <f t="shared" si="2"/>
        <v>Completed</v>
      </c>
    </row>
    <row r="168" spans="1:7">
      <c r="A168" t="s">
        <v>601</v>
      </c>
      <c r="B168" t="s">
        <v>3652</v>
      </c>
      <c r="C168" t="s">
        <v>3652</v>
      </c>
      <c r="D168" t="s">
        <v>3652</v>
      </c>
      <c r="E168" t="s">
        <v>3652</v>
      </c>
      <c r="F168" t="s">
        <v>3652</v>
      </c>
      <c r="G168" t="str">
        <f t="shared" si="2"/>
        <v>Completed</v>
      </c>
    </row>
    <row r="169" spans="1:7">
      <c r="A169" t="s">
        <v>604</v>
      </c>
      <c r="B169" t="s">
        <v>3653</v>
      </c>
      <c r="C169" t="s">
        <v>3653</v>
      </c>
      <c r="D169" t="s">
        <v>3652</v>
      </c>
      <c r="E169" t="s">
        <v>3652</v>
      </c>
      <c r="F169" t="s">
        <v>3653</v>
      </c>
      <c r="G169" t="str">
        <f t="shared" si="2"/>
        <v>Pending</v>
      </c>
    </row>
    <row r="170" spans="1:7">
      <c r="A170" t="s">
        <v>607</v>
      </c>
      <c r="B170" t="s">
        <v>3652</v>
      </c>
      <c r="C170" t="s">
        <v>3652</v>
      </c>
      <c r="D170" t="s">
        <v>3652</v>
      </c>
      <c r="E170" t="s">
        <v>3652</v>
      </c>
      <c r="F170" t="s">
        <v>3652</v>
      </c>
      <c r="G170" t="str">
        <f t="shared" si="2"/>
        <v>Completed</v>
      </c>
    </row>
    <row r="171" spans="1:7">
      <c r="A171" t="s">
        <v>610</v>
      </c>
      <c r="B171" t="s">
        <v>3652</v>
      </c>
      <c r="C171" t="s">
        <v>3652</v>
      </c>
      <c r="D171" t="s">
        <v>3652</v>
      </c>
      <c r="E171" t="s">
        <v>3653</v>
      </c>
      <c r="F171" t="s">
        <v>3652</v>
      </c>
      <c r="G171" t="str">
        <f t="shared" si="2"/>
        <v>Pending</v>
      </c>
    </row>
    <row r="172" spans="1:7">
      <c r="A172" t="s">
        <v>613</v>
      </c>
      <c r="B172" t="s">
        <v>3652</v>
      </c>
      <c r="C172" t="s">
        <v>3652</v>
      </c>
      <c r="D172" t="s">
        <v>3653</v>
      </c>
      <c r="E172" t="s">
        <v>3652</v>
      </c>
      <c r="F172" t="s">
        <v>3652</v>
      </c>
      <c r="G172" t="str">
        <f t="shared" si="2"/>
        <v>Pending</v>
      </c>
    </row>
    <row r="173" spans="1:7">
      <c r="A173" t="s">
        <v>616</v>
      </c>
      <c r="B173" t="s">
        <v>3652</v>
      </c>
      <c r="C173" t="s">
        <v>3652</v>
      </c>
      <c r="D173" t="s">
        <v>3652</v>
      </c>
      <c r="E173" t="s">
        <v>3652</v>
      </c>
      <c r="F173" t="s">
        <v>3653</v>
      </c>
      <c r="G173" t="str">
        <f t="shared" si="2"/>
        <v>Pending</v>
      </c>
    </row>
    <row r="174" spans="1:7">
      <c r="A174" t="s">
        <v>619</v>
      </c>
      <c r="B174" t="s">
        <v>3652</v>
      </c>
      <c r="C174" t="s">
        <v>3652</v>
      </c>
      <c r="D174" t="s">
        <v>3652</v>
      </c>
      <c r="E174" t="s">
        <v>3652</v>
      </c>
      <c r="F174" t="s">
        <v>3652</v>
      </c>
      <c r="G174" t="str">
        <f t="shared" si="2"/>
        <v>Completed</v>
      </c>
    </row>
    <row r="175" spans="1:7">
      <c r="A175" t="s">
        <v>622</v>
      </c>
      <c r="B175" t="s">
        <v>3652</v>
      </c>
      <c r="C175" t="s">
        <v>3653</v>
      </c>
      <c r="D175" t="s">
        <v>3652</v>
      </c>
      <c r="E175" t="s">
        <v>3652</v>
      </c>
      <c r="F175" t="s">
        <v>3652</v>
      </c>
      <c r="G175" t="str">
        <f t="shared" si="2"/>
        <v>Pending</v>
      </c>
    </row>
    <row r="176" spans="1:7">
      <c r="A176" t="s">
        <v>625</v>
      </c>
      <c r="B176" t="s">
        <v>3653</v>
      </c>
      <c r="C176" t="s">
        <v>3652</v>
      </c>
      <c r="D176" t="s">
        <v>3652</v>
      </c>
      <c r="E176" t="s">
        <v>3653</v>
      </c>
      <c r="F176" t="s">
        <v>3652</v>
      </c>
      <c r="G176" t="str">
        <f t="shared" si="2"/>
        <v>Pending</v>
      </c>
    </row>
    <row r="177" spans="1:7">
      <c r="A177" t="s">
        <v>628</v>
      </c>
      <c r="B177" t="s">
        <v>3652</v>
      </c>
      <c r="C177" t="s">
        <v>3652</v>
      </c>
      <c r="D177" t="s">
        <v>3652</v>
      </c>
      <c r="E177" t="s">
        <v>3652</v>
      </c>
      <c r="F177" t="s">
        <v>3653</v>
      </c>
      <c r="G177" t="str">
        <f t="shared" si="2"/>
        <v>Pending</v>
      </c>
    </row>
    <row r="178" spans="1:7">
      <c r="A178" t="s">
        <v>631</v>
      </c>
      <c r="B178" t="s">
        <v>3652</v>
      </c>
      <c r="C178" t="s">
        <v>3652</v>
      </c>
      <c r="D178" t="s">
        <v>3652</v>
      </c>
      <c r="E178" t="s">
        <v>3652</v>
      </c>
      <c r="F178" t="s">
        <v>3652</v>
      </c>
      <c r="G178" t="str">
        <f t="shared" si="2"/>
        <v>Completed</v>
      </c>
    </row>
    <row r="179" spans="1:7">
      <c r="A179" t="s">
        <v>634</v>
      </c>
      <c r="B179" t="s">
        <v>3652</v>
      </c>
      <c r="C179" t="s">
        <v>3652</v>
      </c>
      <c r="D179" t="s">
        <v>3652</v>
      </c>
      <c r="E179" t="s">
        <v>3652</v>
      </c>
      <c r="F179" t="s">
        <v>3652</v>
      </c>
      <c r="G179" t="str">
        <f t="shared" si="2"/>
        <v>Completed</v>
      </c>
    </row>
    <row r="180" spans="1:7">
      <c r="A180" t="s">
        <v>637</v>
      </c>
      <c r="B180" t="s">
        <v>3652</v>
      </c>
      <c r="C180" t="s">
        <v>3652</v>
      </c>
      <c r="D180" t="s">
        <v>3652</v>
      </c>
      <c r="E180" t="s">
        <v>3652</v>
      </c>
      <c r="F180" t="s">
        <v>3652</v>
      </c>
      <c r="G180" t="str">
        <f t="shared" si="2"/>
        <v>Completed</v>
      </c>
    </row>
    <row r="181" spans="1:7">
      <c r="A181" t="s">
        <v>640</v>
      </c>
      <c r="B181" t="s">
        <v>3652</v>
      </c>
      <c r="C181" t="s">
        <v>3653</v>
      </c>
      <c r="D181" t="s">
        <v>3653</v>
      </c>
      <c r="E181" t="s">
        <v>3653</v>
      </c>
      <c r="F181" t="s">
        <v>3653</v>
      </c>
      <c r="G181" t="str">
        <f t="shared" si="2"/>
        <v>Pending</v>
      </c>
    </row>
    <row r="182" spans="1:7">
      <c r="A182" t="s">
        <v>643</v>
      </c>
      <c r="B182" t="s">
        <v>3652</v>
      </c>
      <c r="C182" t="s">
        <v>3652</v>
      </c>
      <c r="D182" t="s">
        <v>3652</v>
      </c>
      <c r="E182" t="s">
        <v>3652</v>
      </c>
      <c r="F182" t="s">
        <v>3652</v>
      </c>
      <c r="G182" t="str">
        <f t="shared" si="2"/>
        <v>Completed</v>
      </c>
    </row>
    <row r="183" spans="1:7">
      <c r="A183" t="s">
        <v>646</v>
      </c>
      <c r="B183" t="s">
        <v>3653</v>
      </c>
      <c r="C183" t="s">
        <v>3652</v>
      </c>
      <c r="D183" t="s">
        <v>3652</v>
      </c>
      <c r="E183" t="s">
        <v>3652</v>
      </c>
      <c r="F183" t="s">
        <v>3652</v>
      </c>
      <c r="G183" t="str">
        <f t="shared" si="2"/>
        <v>Pending</v>
      </c>
    </row>
    <row r="184" spans="1:7">
      <c r="A184" t="s">
        <v>649</v>
      </c>
      <c r="B184" t="s">
        <v>3652</v>
      </c>
      <c r="C184" t="s">
        <v>3652</v>
      </c>
      <c r="D184" t="s">
        <v>3652</v>
      </c>
      <c r="E184" t="s">
        <v>3652</v>
      </c>
      <c r="F184" t="s">
        <v>3652</v>
      </c>
      <c r="G184" t="str">
        <f t="shared" si="2"/>
        <v>Completed</v>
      </c>
    </row>
    <row r="185" spans="1:7">
      <c r="A185" t="s">
        <v>652</v>
      </c>
      <c r="B185" t="s">
        <v>3652</v>
      </c>
      <c r="C185" t="s">
        <v>3652</v>
      </c>
      <c r="D185" t="s">
        <v>3652</v>
      </c>
      <c r="E185" t="s">
        <v>3652</v>
      </c>
      <c r="F185" t="s">
        <v>3653</v>
      </c>
      <c r="G185" t="str">
        <f t="shared" si="2"/>
        <v>Pending</v>
      </c>
    </row>
    <row r="186" spans="1:7">
      <c r="A186" t="s">
        <v>655</v>
      </c>
      <c r="B186" t="s">
        <v>3652</v>
      </c>
      <c r="C186" t="s">
        <v>3652</v>
      </c>
      <c r="D186" t="s">
        <v>3652</v>
      </c>
      <c r="E186" t="s">
        <v>3653</v>
      </c>
      <c r="F186" t="s">
        <v>3652</v>
      </c>
      <c r="G186" t="str">
        <f t="shared" si="2"/>
        <v>Pending</v>
      </c>
    </row>
    <row r="187" spans="1:7">
      <c r="A187" t="s">
        <v>658</v>
      </c>
      <c r="B187" t="s">
        <v>3652</v>
      </c>
      <c r="C187" t="s">
        <v>3653</v>
      </c>
      <c r="D187" t="s">
        <v>3652</v>
      </c>
      <c r="E187" t="s">
        <v>3652</v>
      </c>
      <c r="F187" t="s">
        <v>3652</v>
      </c>
      <c r="G187" t="str">
        <f t="shared" si="2"/>
        <v>Pending</v>
      </c>
    </row>
    <row r="188" spans="1:7">
      <c r="A188" t="s">
        <v>661</v>
      </c>
      <c r="B188" t="s">
        <v>3652</v>
      </c>
      <c r="C188" t="s">
        <v>3652</v>
      </c>
      <c r="D188" t="s">
        <v>3652</v>
      </c>
      <c r="E188" t="s">
        <v>3652</v>
      </c>
      <c r="F188" t="s">
        <v>3652</v>
      </c>
      <c r="G188" t="str">
        <f t="shared" si="2"/>
        <v>Completed</v>
      </c>
    </row>
    <row r="189" spans="1:7">
      <c r="A189" t="s">
        <v>664</v>
      </c>
      <c r="B189" t="s">
        <v>3652</v>
      </c>
      <c r="C189" t="s">
        <v>3652</v>
      </c>
      <c r="D189" t="s">
        <v>3652</v>
      </c>
      <c r="E189" t="s">
        <v>3652</v>
      </c>
      <c r="F189" t="s">
        <v>3653</v>
      </c>
      <c r="G189" t="str">
        <f t="shared" si="2"/>
        <v>Pending</v>
      </c>
    </row>
    <row r="190" spans="1:7">
      <c r="A190" t="s">
        <v>667</v>
      </c>
      <c r="B190" t="s">
        <v>3653</v>
      </c>
      <c r="C190" t="s">
        <v>3652</v>
      </c>
      <c r="D190" t="s">
        <v>3653</v>
      </c>
      <c r="E190" t="s">
        <v>3652</v>
      </c>
      <c r="F190" t="s">
        <v>3652</v>
      </c>
      <c r="G190" t="str">
        <f t="shared" si="2"/>
        <v>Pending</v>
      </c>
    </row>
    <row r="191" spans="1:7">
      <c r="A191" t="s">
        <v>670</v>
      </c>
      <c r="B191" t="s">
        <v>3652</v>
      </c>
      <c r="C191" t="s">
        <v>3652</v>
      </c>
      <c r="D191" t="s">
        <v>3652</v>
      </c>
      <c r="E191" t="s">
        <v>3653</v>
      </c>
      <c r="F191" t="s">
        <v>3652</v>
      </c>
      <c r="G191" t="str">
        <f t="shared" si="2"/>
        <v>Pending</v>
      </c>
    </row>
    <row r="192" spans="1:7">
      <c r="A192" t="s">
        <v>673</v>
      </c>
      <c r="B192" t="s">
        <v>3652</v>
      </c>
      <c r="C192" t="s">
        <v>3652</v>
      </c>
      <c r="D192" t="s">
        <v>3652</v>
      </c>
      <c r="E192" t="s">
        <v>3652</v>
      </c>
      <c r="F192" t="s">
        <v>3652</v>
      </c>
      <c r="G192" t="str">
        <f t="shared" si="2"/>
        <v>Completed</v>
      </c>
    </row>
    <row r="193" spans="1:7">
      <c r="A193" t="s">
        <v>676</v>
      </c>
      <c r="B193" t="s">
        <v>3652</v>
      </c>
      <c r="C193" t="s">
        <v>3653</v>
      </c>
      <c r="D193" t="s">
        <v>3652</v>
      </c>
      <c r="E193" t="s">
        <v>3652</v>
      </c>
      <c r="F193" t="s">
        <v>3653</v>
      </c>
      <c r="G193" t="str">
        <f t="shared" si="2"/>
        <v>Pending</v>
      </c>
    </row>
    <row r="194" spans="1:7">
      <c r="A194" t="s">
        <v>679</v>
      </c>
      <c r="B194" t="s">
        <v>3652</v>
      </c>
      <c r="C194" t="s">
        <v>3652</v>
      </c>
      <c r="D194" t="s">
        <v>3652</v>
      </c>
      <c r="E194" t="s">
        <v>3652</v>
      </c>
      <c r="F194" t="s">
        <v>3652</v>
      </c>
      <c r="G194" t="str">
        <f t="shared" ref="G194:G257" si="3">IF(AND(B194="Yes",C194="Yes",D194="Yes",E194="Yes",F194="Yes"),"Completed","Pending")</f>
        <v>Completed</v>
      </c>
    </row>
    <row r="195" spans="1:7">
      <c r="A195" t="s">
        <v>682</v>
      </c>
      <c r="B195" t="s">
        <v>3652</v>
      </c>
      <c r="C195" t="s">
        <v>3652</v>
      </c>
      <c r="D195" t="s">
        <v>3652</v>
      </c>
      <c r="E195" t="s">
        <v>3652</v>
      </c>
      <c r="F195" t="s">
        <v>3652</v>
      </c>
      <c r="G195" t="str">
        <f t="shared" si="3"/>
        <v>Completed</v>
      </c>
    </row>
    <row r="196" spans="1:7">
      <c r="A196" t="s">
        <v>685</v>
      </c>
      <c r="B196" t="s">
        <v>3652</v>
      </c>
      <c r="C196" t="s">
        <v>3652</v>
      </c>
      <c r="D196" t="s">
        <v>3652</v>
      </c>
      <c r="E196" t="s">
        <v>3653</v>
      </c>
      <c r="F196" t="s">
        <v>3652</v>
      </c>
      <c r="G196" t="str">
        <f t="shared" si="3"/>
        <v>Pending</v>
      </c>
    </row>
    <row r="197" spans="1:7">
      <c r="A197" t="s">
        <v>688</v>
      </c>
      <c r="B197" t="s">
        <v>3653</v>
      </c>
      <c r="C197" t="s">
        <v>3652</v>
      </c>
      <c r="D197" t="s">
        <v>3652</v>
      </c>
      <c r="E197" t="s">
        <v>3652</v>
      </c>
      <c r="F197" t="s">
        <v>3653</v>
      </c>
      <c r="G197" t="str">
        <f t="shared" si="3"/>
        <v>Pending</v>
      </c>
    </row>
    <row r="198" spans="1:7">
      <c r="A198" t="s">
        <v>691</v>
      </c>
      <c r="B198" t="s">
        <v>3652</v>
      </c>
      <c r="C198" t="s">
        <v>3652</v>
      </c>
      <c r="D198" t="s">
        <v>3652</v>
      </c>
      <c r="E198" t="s">
        <v>3652</v>
      </c>
      <c r="F198" t="s">
        <v>3652</v>
      </c>
      <c r="G198" t="str">
        <f t="shared" si="3"/>
        <v>Completed</v>
      </c>
    </row>
    <row r="199" spans="1:7">
      <c r="A199" t="s">
        <v>694</v>
      </c>
      <c r="B199" t="s">
        <v>3652</v>
      </c>
      <c r="C199" t="s">
        <v>3653</v>
      </c>
      <c r="D199" t="s">
        <v>3653</v>
      </c>
      <c r="E199" t="s">
        <v>3652</v>
      </c>
      <c r="F199" t="s">
        <v>3652</v>
      </c>
      <c r="G199" t="str">
        <f t="shared" si="3"/>
        <v>Pending</v>
      </c>
    </row>
    <row r="200" spans="1:7">
      <c r="A200" t="s">
        <v>697</v>
      </c>
      <c r="B200" t="s">
        <v>3652</v>
      </c>
      <c r="C200" t="s">
        <v>3652</v>
      </c>
      <c r="D200" t="s">
        <v>3652</v>
      </c>
      <c r="E200" t="s">
        <v>3652</v>
      </c>
      <c r="F200" t="s">
        <v>3652</v>
      </c>
      <c r="G200" t="str">
        <f t="shared" si="3"/>
        <v>Completed</v>
      </c>
    </row>
    <row r="201" spans="1:7">
      <c r="A201" t="s">
        <v>700</v>
      </c>
      <c r="B201" t="s">
        <v>3652</v>
      </c>
      <c r="C201" t="s">
        <v>3652</v>
      </c>
      <c r="D201" t="s">
        <v>3652</v>
      </c>
      <c r="E201" t="s">
        <v>3653</v>
      </c>
      <c r="F201" t="s">
        <v>3653</v>
      </c>
      <c r="G201" t="str">
        <f t="shared" si="3"/>
        <v>Pending</v>
      </c>
    </row>
    <row r="202" spans="1:7">
      <c r="A202" t="s">
        <v>703</v>
      </c>
      <c r="B202" t="s">
        <v>3652</v>
      </c>
      <c r="C202" t="s">
        <v>3652</v>
      </c>
      <c r="D202" t="s">
        <v>3652</v>
      </c>
      <c r="E202" t="s">
        <v>3652</v>
      </c>
      <c r="F202" t="s">
        <v>3652</v>
      </c>
      <c r="G202" t="str">
        <f t="shared" si="3"/>
        <v>Completed</v>
      </c>
    </row>
    <row r="203" spans="1:7">
      <c r="A203" t="s">
        <v>706</v>
      </c>
      <c r="B203" t="s">
        <v>3652</v>
      </c>
      <c r="C203" t="s">
        <v>3652</v>
      </c>
      <c r="D203" t="s">
        <v>3652</v>
      </c>
      <c r="E203" t="s">
        <v>3652</v>
      </c>
      <c r="F203" t="s">
        <v>3652</v>
      </c>
      <c r="G203" t="str">
        <f t="shared" si="3"/>
        <v>Completed</v>
      </c>
    </row>
    <row r="204" spans="1:7">
      <c r="A204" t="s">
        <v>709</v>
      </c>
      <c r="B204" t="s">
        <v>3653</v>
      </c>
      <c r="C204" t="s">
        <v>3652</v>
      </c>
      <c r="D204" t="s">
        <v>3652</v>
      </c>
      <c r="E204" t="s">
        <v>3652</v>
      </c>
      <c r="F204" t="s">
        <v>3652</v>
      </c>
      <c r="G204" t="str">
        <f t="shared" si="3"/>
        <v>Pending</v>
      </c>
    </row>
    <row r="205" spans="1:7">
      <c r="A205" t="s">
        <v>712</v>
      </c>
      <c r="B205" t="s">
        <v>3652</v>
      </c>
      <c r="C205" t="s">
        <v>3653</v>
      </c>
      <c r="D205" t="s">
        <v>3652</v>
      </c>
      <c r="E205" t="s">
        <v>3652</v>
      </c>
      <c r="F205" t="s">
        <v>3653</v>
      </c>
      <c r="G205" t="str">
        <f t="shared" si="3"/>
        <v>Pending</v>
      </c>
    </row>
    <row r="206" spans="1:7">
      <c r="A206" t="s">
        <v>715</v>
      </c>
      <c r="B206" t="s">
        <v>3652</v>
      </c>
      <c r="C206" t="s">
        <v>3652</v>
      </c>
      <c r="D206" t="s">
        <v>3652</v>
      </c>
      <c r="E206" t="s">
        <v>3653</v>
      </c>
      <c r="F206" t="s">
        <v>3652</v>
      </c>
      <c r="G206" t="str">
        <f t="shared" si="3"/>
        <v>Pending</v>
      </c>
    </row>
    <row r="207" spans="1:7">
      <c r="A207" t="s">
        <v>718</v>
      </c>
      <c r="B207" t="s">
        <v>3652</v>
      </c>
      <c r="C207" t="s">
        <v>3652</v>
      </c>
      <c r="D207" t="s">
        <v>3652</v>
      </c>
      <c r="E207" t="s">
        <v>3652</v>
      </c>
      <c r="F207" t="s">
        <v>3652</v>
      </c>
      <c r="G207" t="str">
        <f t="shared" si="3"/>
        <v>Completed</v>
      </c>
    </row>
    <row r="208" spans="1:7">
      <c r="A208" t="s">
        <v>721</v>
      </c>
      <c r="B208" t="s">
        <v>3652</v>
      </c>
      <c r="C208" t="s">
        <v>3652</v>
      </c>
      <c r="D208" t="s">
        <v>3653</v>
      </c>
      <c r="E208" t="s">
        <v>3652</v>
      </c>
      <c r="F208" t="s">
        <v>3652</v>
      </c>
      <c r="G208" t="str">
        <f t="shared" si="3"/>
        <v>Pending</v>
      </c>
    </row>
    <row r="209" spans="1:7">
      <c r="A209" t="s">
        <v>724</v>
      </c>
      <c r="B209" t="s">
        <v>3652</v>
      </c>
      <c r="C209" t="s">
        <v>3652</v>
      </c>
      <c r="D209" t="s">
        <v>3652</v>
      </c>
      <c r="E209" t="s">
        <v>3652</v>
      </c>
      <c r="F209" t="s">
        <v>3653</v>
      </c>
      <c r="G209" t="str">
        <f t="shared" si="3"/>
        <v>Pending</v>
      </c>
    </row>
    <row r="210" spans="1:7">
      <c r="A210" t="s">
        <v>727</v>
      </c>
      <c r="B210" t="s">
        <v>3652</v>
      </c>
      <c r="C210" t="s">
        <v>3652</v>
      </c>
      <c r="D210" t="s">
        <v>3652</v>
      </c>
      <c r="E210" t="s">
        <v>3652</v>
      </c>
      <c r="F210" t="s">
        <v>3652</v>
      </c>
      <c r="G210" t="str">
        <f t="shared" si="3"/>
        <v>Completed</v>
      </c>
    </row>
    <row r="211" spans="1:7">
      <c r="A211" t="s">
        <v>730</v>
      </c>
      <c r="B211" t="s">
        <v>3653</v>
      </c>
      <c r="C211" t="s">
        <v>3653</v>
      </c>
      <c r="D211" t="s">
        <v>3652</v>
      </c>
      <c r="E211" t="s">
        <v>3653</v>
      </c>
      <c r="F211" t="s">
        <v>3652</v>
      </c>
      <c r="G211" t="str">
        <f t="shared" si="3"/>
        <v>Pending</v>
      </c>
    </row>
    <row r="212" spans="1:7">
      <c r="A212" t="s">
        <v>733</v>
      </c>
      <c r="B212" t="s">
        <v>3652</v>
      </c>
      <c r="C212" t="s">
        <v>3652</v>
      </c>
      <c r="D212" t="s">
        <v>3652</v>
      </c>
      <c r="E212" t="s">
        <v>3652</v>
      </c>
      <c r="F212" t="s">
        <v>3652</v>
      </c>
      <c r="G212" t="str">
        <f t="shared" si="3"/>
        <v>Completed</v>
      </c>
    </row>
    <row r="213" spans="1:7">
      <c r="A213" t="s">
        <v>736</v>
      </c>
      <c r="B213" t="s">
        <v>3652</v>
      </c>
      <c r="C213" t="s">
        <v>3652</v>
      </c>
      <c r="D213" t="s">
        <v>3652</v>
      </c>
      <c r="E213" t="s">
        <v>3652</v>
      </c>
      <c r="F213" t="s">
        <v>3653</v>
      </c>
      <c r="G213" t="str">
        <f t="shared" si="3"/>
        <v>Pending</v>
      </c>
    </row>
    <row r="214" spans="1:7">
      <c r="A214" t="s">
        <v>739</v>
      </c>
      <c r="B214" t="s">
        <v>3652</v>
      </c>
      <c r="C214" t="s">
        <v>3652</v>
      </c>
      <c r="D214" t="s">
        <v>3652</v>
      </c>
      <c r="E214" t="s">
        <v>3652</v>
      </c>
      <c r="F214" t="s">
        <v>3652</v>
      </c>
      <c r="G214" t="str">
        <f t="shared" si="3"/>
        <v>Completed</v>
      </c>
    </row>
    <row r="215" spans="1:7">
      <c r="A215" t="s">
        <v>742</v>
      </c>
      <c r="B215" t="s">
        <v>3652</v>
      </c>
      <c r="C215" t="s">
        <v>3652</v>
      </c>
      <c r="D215" t="s">
        <v>3652</v>
      </c>
      <c r="E215" t="s">
        <v>3652</v>
      </c>
      <c r="F215" t="s">
        <v>3652</v>
      </c>
      <c r="G215" t="str">
        <f t="shared" si="3"/>
        <v>Completed</v>
      </c>
    </row>
    <row r="216" spans="1:7">
      <c r="A216" t="s">
        <v>745</v>
      </c>
      <c r="B216" t="s">
        <v>3652</v>
      </c>
      <c r="C216" t="s">
        <v>3652</v>
      </c>
      <c r="D216" t="s">
        <v>3652</v>
      </c>
      <c r="E216" t="s">
        <v>3653</v>
      </c>
      <c r="F216" t="s">
        <v>3652</v>
      </c>
      <c r="G216" t="str">
        <f t="shared" si="3"/>
        <v>Pending</v>
      </c>
    </row>
    <row r="217" spans="1:7">
      <c r="A217" t="s">
        <v>748</v>
      </c>
      <c r="B217" t="s">
        <v>3652</v>
      </c>
      <c r="C217" t="s">
        <v>3653</v>
      </c>
      <c r="D217" t="s">
        <v>3653</v>
      </c>
      <c r="E217" t="s">
        <v>3652</v>
      </c>
      <c r="F217" t="s">
        <v>3653</v>
      </c>
      <c r="G217" t="str">
        <f t="shared" si="3"/>
        <v>Pending</v>
      </c>
    </row>
    <row r="218" spans="1:7">
      <c r="A218" t="s">
        <v>751</v>
      </c>
      <c r="B218" t="s">
        <v>3653</v>
      </c>
      <c r="C218" t="s">
        <v>3652</v>
      </c>
      <c r="D218" t="s">
        <v>3652</v>
      </c>
      <c r="E218" t="s">
        <v>3652</v>
      </c>
      <c r="F218" t="s">
        <v>3652</v>
      </c>
      <c r="G218" t="str">
        <f t="shared" si="3"/>
        <v>Pending</v>
      </c>
    </row>
    <row r="219" spans="1:7">
      <c r="A219" t="s">
        <v>754</v>
      </c>
      <c r="B219" t="s">
        <v>3652</v>
      </c>
      <c r="C219" t="s">
        <v>3652</v>
      </c>
      <c r="D219" t="s">
        <v>3652</v>
      </c>
      <c r="E219" t="s">
        <v>3652</v>
      </c>
      <c r="F219" t="s">
        <v>3652</v>
      </c>
      <c r="G219" t="str">
        <f t="shared" si="3"/>
        <v>Completed</v>
      </c>
    </row>
    <row r="220" spans="1:7">
      <c r="A220" t="s">
        <v>757</v>
      </c>
      <c r="B220" t="s">
        <v>3652</v>
      </c>
      <c r="C220" t="s">
        <v>3652</v>
      </c>
      <c r="D220" t="s">
        <v>3652</v>
      </c>
      <c r="E220" t="s">
        <v>3652</v>
      </c>
      <c r="F220" t="s">
        <v>3652</v>
      </c>
      <c r="G220" t="str">
        <f t="shared" si="3"/>
        <v>Completed</v>
      </c>
    </row>
    <row r="221" spans="1:7">
      <c r="A221" t="s">
        <v>760</v>
      </c>
      <c r="B221" t="s">
        <v>3652</v>
      </c>
      <c r="C221" t="s">
        <v>3652</v>
      </c>
      <c r="D221" t="s">
        <v>3652</v>
      </c>
      <c r="E221" t="s">
        <v>3653</v>
      </c>
      <c r="F221" t="s">
        <v>3653</v>
      </c>
      <c r="G221" t="str">
        <f t="shared" si="3"/>
        <v>Pending</v>
      </c>
    </row>
    <row r="222" spans="1:7">
      <c r="A222" t="s">
        <v>763</v>
      </c>
      <c r="B222" t="s">
        <v>3652</v>
      </c>
      <c r="C222" t="s">
        <v>3652</v>
      </c>
      <c r="D222" t="s">
        <v>3652</v>
      </c>
      <c r="E222" t="s">
        <v>3652</v>
      </c>
      <c r="F222" t="s">
        <v>3652</v>
      </c>
      <c r="G222" t="str">
        <f t="shared" si="3"/>
        <v>Completed</v>
      </c>
    </row>
    <row r="223" spans="1:7">
      <c r="A223" t="s">
        <v>766</v>
      </c>
      <c r="B223" t="s">
        <v>3652</v>
      </c>
      <c r="C223" t="s">
        <v>3653</v>
      </c>
      <c r="D223" t="s">
        <v>3652</v>
      </c>
      <c r="E223" t="s">
        <v>3652</v>
      </c>
      <c r="F223" t="s">
        <v>3652</v>
      </c>
      <c r="G223" t="str">
        <f t="shared" si="3"/>
        <v>Pending</v>
      </c>
    </row>
    <row r="224" spans="1:7">
      <c r="A224" t="s">
        <v>769</v>
      </c>
      <c r="B224" t="s">
        <v>3652</v>
      </c>
      <c r="C224" t="s">
        <v>3652</v>
      </c>
      <c r="D224" t="s">
        <v>3652</v>
      </c>
      <c r="E224" t="s">
        <v>3652</v>
      </c>
      <c r="F224" t="s">
        <v>3652</v>
      </c>
      <c r="G224" t="str">
        <f t="shared" si="3"/>
        <v>Completed</v>
      </c>
    </row>
    <row r="225" spans="1:7">
      <c r="A225" t="s">
        <v>772</v>
      </c>
      <c r="B225" t="s">
        <v>3653</v>
      </c>
      <c r="C225" t="s">
        <v>3652</v>
      </c>
      <c r="D225" t="s">
        <v>3652</v>
      </c>
      <c r="E225" t="s">
        <v>3652</v>
      </c>
      <c r="F225" t="s">
        <v>3653</v>
      </c>
      <c r="G225" t="str">
        <f t="shared" si="3"/>
        <v>Pending</v>
      </c>
    </row>
    <row r="226" spans="1:7">
      <c r="A226" t="s">
        <v>775</v>
      </c>
      <c r="B226" t="s">
        <v>3652</v>
      </c>
      <c r="C226" t="s">
        <v>3652</v>
      </c>
      <c r="D226" t="s">
        <v>3653</v>
      </c>
      <c r="E226" t="s">
        <v>3653</v>
      </c>
      <c r="F226" t="s">
        <v>3652</v>
      </c>
      <c r="G226" t="str">
        <f t="shared" si="3"/>
        <v>Pending</v>
      </c>
    </row>
    <row r="227" spans="1:7">
      <c r="A227" t="s">
        <v>778</v>
      </c>
      <c r="B227" t="s">
        <v>3652</v>
      </c>
      <c r="C227" t="s">
        <v>3652</v>
      </c>
      <c r="D227" t="s">
        <v>3652</v>
      </c>
      <c r="E227" t="s">
        <v>3652</v>
      </c>
      <c r="F227" t="s">
        <v>3652</v>
      </c>
      <c r="G227" t="str">
        <f t="shared" si="3"/>
        <v>Completed</v>
      </c>
    </row>
    <row r="228" spans="1:7">
      <c r="A228" t="s">
        <v>781</v>
      </c>
      <c r="B228" t="s">
        <v>3652</v>
      </c>
      <c r="C228" t="s">
        <v>3652</v>
      </c>
      <c r="D228" t="s">
        <v>3652</v>
      </c>
      <c r="E228" t="s">
        <v>3652</v>
      </c>
      <c r="F228" t="s">
        <v>3652</v>
      </c>
      <c r="G228" t="str">
        <f t="shared" si="3"/>
        <v>Completed</v>
      </c>
    </row>
    <row r="229" spans="1:7">
      <c r="A229" t="s">
        <v>784</v>
      </c>
      <c r="B229" t="s">
        <v>3652</v>
      </c>
      <c r="C229" t="s">
        <v>3653</v>
      </c>
      <c r="D229" t="s">
        <v>3652</v>
      </c>
      <c r="E229" t="s">
        <v>3652</v>
      </c>
      <c r="F229" t="s">
        <v>3653</v>
      </c>
      <c r="G229" t="str">
        <f t="shared" si="3"/>
        <v>Pending</v>
      </c>
    </row>
    <row r="230" spans="1:7">
      <c r="A230" t="s">
        <v>787</v>
      </c>
      <c r="B230" t="s">
        <v>3652</v>
      </c>
      <c r="C230" t="s">
        <v>3652</v>
      </c>
      <c r="D230" t="s">
        <v>3652</v>
      </c>
      <c r="E230" t="s">
        <v>3652</v>
      </c>
      <c r="F230" t="s">
        <v>3652</v>
      </c>
      <c r="G230" t="str">
        <f t="shared" si="3"/>
        <v>Completed</v>
      </c>
    </row>
    <row r="231" spans="1:7">
      <c r="A231" t="s">
        <v>790</v>
      </c>
      <c r="B231" t="s">
        <v>3652</v>
      </c>
      <c r="C231" t="s">
        <v>3652</v>
      </c>
      <c r="D231" t="s">
        <v>3652</v>
      </c>
      <c r="E231" t="s">
        <v>3653</v>
      </c>
      <c r="F231" t="s">
        <v>3652</v>
      </c>
      <c r="G231" t="str">
        <f t="shared" si="3"/>
        <v>Pending</v>
      </c>
    </row>
    <row r="232" spans="1:7">
      <c r="A232" t="s">
        <v>793</v>
      </c>
      <c r="B232" t="s">
        <v>3653</v>
      </c>
      <c r="C232" t="s">
        <v>3652</v>
      </c>
      <c r="D232" t="s">
        <v>3652</v>
      </c>
      <c r="E232" t="s">
        <v>3652</v>
      </c>
      <c r="F232" t="s">
        <v>3652</v>
      </c>
      <c r="G232" t="str">
        <f t="shared" si="3"/>
        <v>Pending</v>
      </c>
    </row>
    <row r="233" spans="1:7">
      <c r="A233" t="s">
        <v>796</v>
      </c>
      <c r="B233" t="s">
        <v>3652</v>
      </c>
      <c r="C233" t="s">
        <v>3652</v>
      </c>
      <c r="D233" t="s">
        <v>3652</v>
      </c>
      <c r="E233" t="s">
        <v>3652</v>
      </c>
      <c r="F233" t="s">
        <v>3653</v>
      </c>
      <c r="G233" t="str">
        <f t="shared" si="3"/>
        <v>Pending</v>
      </c>
    </row>
    <row r="234" spans="1:7">
      <c r="A234" t="s">
        <v>799</v>
      </c>
      <c r="B234" t="s">
        <v>3652</v>
      </c>
      <c r="C234" t="s">
        <v>3652</v>
      </c>
      <c r="D234" t="s">
        <v>3652</v>
      </c>
      <c r="E234" t="s">
        <v>3652</v>
      </c>
      <c r="F234" t="s">
        <v>3652</v>
      </c>
      <c r="G234" t="str">
        <f t="shared" si="3"/>
        <v>Completed</v>
      </c>
    </row>
    <row r="235" spans="1:7">
      <c r="A235" t="s">
        <v>802</v>
      </c>
      <c r="B235" t="s">
        <v>3652</v>
      </c>
      <c r="C235" t="s">
        <v>3653</v>
      </c>
      <c r="D235" t="s">
        <v>3653</v>
      </c>
      <c r="E235" t="s">
        <v>3652</v>
      </c>
      <c r="F235" t="s">
        <v>3652</v>
      </c>
      <c r="G235" t="str">
        <f t="shared" si="3"/>
        <v>Pending</v>
      </c>
    </row>
    <row r="236" spans="1:7">
      <c r="A236" t="s">
        <v>805</v>
      </c>
      <c r="B236" t="s">
        <v>3652</v>
      </c>
      <c r="C236" t="s">
        <v>3652</v>
      </c>
      <c r="D236" t="s">
        <v>3652</v>
      </c>
      <c r="E236" t="s">
        <v>3653</v>
      </c>
      <c r="F236" t="s">
        <v>3652</v>
      </c>
      <c r="G236" t="str">
        <f t="shared" si="3"/>
        <v>Pending</v>
      </c>
    </row>
    <row r="237" spans="1:7">
      <c r="A237" t="s">
        <v>808</v>
      </c>
      <c r="B237" t="s">
        <v>3652</v>
      </c>
      <c r="C237" t="s">
        <v>3652</v>
      </c>
      <c r="D237" t="s">
        <v>3652</v>
      </c>
      <c r="E237" t="s">
        <v>3652</v>
      </c>
      <c r="F237" t="s">
        <v>3653</v>
      </c>
      <c r="G237" t="str">
        <f t="shared" si="3"/>
        <v>Pending</v>
      </c>
    </row>
    <row r="238" spans="1:7">
      <c r="A238" t="s">
        <v>811</v>
      </c>
      <c r="B238" t="s">
        <v>3652</v>
      </c>
      <c r="C238" t="s">
        <v>3652</v>
      </c>
      <c r="D238" t="s">
        <v>3652</v>
      </c>
      <c r="E238" t="s">
        <v>3652</v>
      </c>
      <c r="F238" t="s">
        <v>3652</v>
      </c>
      <c r="G238" t="str">
        <f t="shared" si="3"/>
        <v>Completed</v>
      </c>
    </row>
    <row r="239" spans="1:7">
      <c r="A239" t="s">
        <v>814</v>
      </c>
      <c r="B239" t="s">
        <v>3653</v>
      </c>
      <c r="C239" t="s">
        <v>3652</v>
      </c>
      <c r="D239" t="s">
        <v>3652</v>
      </c>
      <c r="E239" t="s">
        <v>3652</v>
      </c>
      <c r="F239" t="s">
        <v>3652</v>
      </c>
      <c r="G239" t="str">
        <f t="shared" si="3"/>
        <v>Pending</v>
      </c>
    </row>
    <row r="240" spans="1:7">
      <c r="A240" t="s">
        <v>817</v>
      </c>
      <c r="B240" t="s">
        <v>3652</v>
      </c>
      <c r="C240" t="s">
        <v>3652</v>
      </c>
      <c r="D240" t="s">
        <v>3652</v>
      </c>
      <c r="E240" t="s">
        <v>3652</v>
      </c>
      <c r="F240" t="s">
        <v>3652</v>
      </c>
      <c r="G240" t="str">
        <f t="shared" si="3"/>
        <v>Completed</v>
      </c>
    </row>
    <row r="241" spans="1:7">
      <c r="A241" t="s">
        <v>820</v>
      </c>
      <c r="B241" t="s">
        <v>3652</v>
      </c>
      <c r="C241" t="s">
        <v>3653</v>
      </c>
      <c r="D241" t="s">
        <v>3652</v>
      </c>
      <c r="E241" t="s">
        <v>3653</v>
      </c>
      <c r="F241" t="s">
        <v>3653</v>
      </c>
      <c r="G241" t="str">
        <f t="shared" si="3"/>
        <v>Pending</v>
      </c>
    </row>
    <row r="242" spans="1:7">
      <c r="A242" t="s">
        <v>823</v>
      </c>
      <c r="B242" t="s">
        <v>3652</v>
      </c>
      <c r="C242" t="s">
        <v>3652</v>
      </c>
      <c r="D242" t="s">
        <v>3652</v>
      </c>
      <c r="E242" t="s">
        <v>3652</v>
      </c>
      <c r="F242" t="s">
        <v>3652</v>
      </c>
      <c r="G242" t="str">
        <f t="shared" si="3"/>
        <v>Completed</v>
      </c>
    </row>
    <row r="243" spans="1:7">
      <c r="A243" t="s">
        <v>826</v>
      </c>
      <c r="B243" t="s">
        <v>3652</v>
      </c>
      <c r="C243" t="s">
        <v>3652</v>
      </c>
      <c r="D243" t="s">
        <v>3652</v>
      </c>
      <c r="E243" t="s">
        <v>3652</v>
      </c>
      <c r="F243" t="s">
        <v>3652</v>
      </c>
      <c r="G243" t="str">
        <f t="shared" si="3"/>
        <v>Completed</v>
      </c>
    </row>
    <row r="244" spans="1:7">
      <c r="A244" t="s">
        <v>829</v>
      </c>
      <c r="B244" t="s">
        <v>3652</v>
      </c>
      <c r="C244" t="s">
        <v>3652</v>
      </c>
      <c r="D244" t="s">
        <v>3653</v>
      </c>
      <c r="E244" t="s">
        <v>3652</v>
      </c>
      <c r="F244" t="s">
        <v>3652</v>
      </c>
      <c r="G244" t="str">
        <f t="shared" si="3"/>
        <v>Pending</v>
      </c>
    </row>
    <row r="245" spans="1:7">
      <c r="A245" t="s">
        <v>832</v>
      </c>
      <c r="B245" t="s">
        <v>3652</v>
      </c>
      <c r="C245" t="s">
        <v>3652</v>
      </c>
      <c r="D245" t="s">
        <v>3652</v>
      </c>
      <c r="E245" t="s">
        <v>3652</v>
      </c>
      <c r="F245" t="s">
        <v>3653</v>
      </c>
      <c r="G245" t="str">
        <f t="shared" si="3"/>
        <v>Pending</v>
      </c>
    </row>
    <row r="246" spans="1:7">
      <c r="A246" t="s">
        <v>835</v>
      </c>
      <c r="B246" t="s">
        <v>3653</v>
      </c>
      <c r="C246" t="s">
        <v>3652</v>
      </c>
      <c r="D246" t="s">
        <v>3652</v>
      </c>
      <c r="E246" t="s">
        <v>3653</v>
      </c>
      <c r="F246" t="s">
        <v>3652</v>
      </c>
      <c r="G246" t="str">
        <f t="shared" si="3"/>
        <v>Pending</v>
      </c>
    </row>
    <row r="247" spans="1:7">
      <c r="A247" t="s">
        <v>838</v>
      </c>
      <c r="B247" t="s">
        <v>3652</v>
      </c>
      <c r="C247" t="s">
        <v>3653</v>
      </c>
      <c r="D247" t="s">
        <v>3652</v>
      </c>
      <c r="E247" t="s">
        <v>3652</v>
      </c>
      <c r="F247" t="s">
        <v>3652</v>
      </c>
      <c r="G247" t="str">
        <f t="shared" si="3"/>
        <v>Pending</v>
      </c>
    </row>
    <row r="248" spans="1:7">
      <c r="A248" t="s">
        <v>841</v>
      </c>
      <c r="B248" t="s">
        <v>3652</v>
      </c>
      <c r="C248" t="s">
        <v>3652</v>
      </c>
      <c r="D248" t="s">
        <v>3652</v>
      </c>
      <c r="E248" t="s">
        <v>3652</v>
      </c>
      <c r="F248" t="s">
        <v>3652</v>
      </c>
      <c r="G248" t="str">
        <f t="shared" si="3"/>
        <v>Completed</v>
      </c>
    </row>
    <row r="249" spans="1:7">
      <c r="A249" t="s">
        <v>844</v>
      </c>
      <c r="B249" t="s">
        <v>3652</v>
      </c>
      <c r="C249" t="s">
        <v>3652</v>
      </c>
      <c r="D249" t="s">
        <v>3652</v>
      </c>
      <c r="E249" t="s">
        <v>3652</v>
      </c>
      <c r="F249" t="s">
        <v>3653</v>
      </c>
      <c r="G249" t="str">
        <f t="shared" si="3"/>
        <v>Pending</v>
      </c>
    </row>
    <row r="250" spans="1:7">
      <c r="A250" t="s">
        <v>847</v>
      </c>
      <c r="B250" t="s">
        <v>3652</v>
      </c>
      <c r="C250" t="s">
        <v>3652</v>
      </c>
      <c r="D250" t="s">
        <v>3652</v>
      </c>
      <c r="E250" t="s">
        <v>3652</v>
      </c>
      <c r="F250" t="s">
        <v>3652</v>
      </c>
      <c r="G250" t="str">
        <f t="shared" si="3"/>
        <v>Completed</v>
      </c>
    </row>
    <row r="251" spans="1:7">
      <c r="A251" t="s">
        <v>850</v>
      </c>
      <c r="B251" t="s">
        <v>3652</v>
      </c>
      <c r="C251" t="s">
        <v>3652</v>
      </c>
      <c r="D251" t="s">
        <v>3652</v>
      </c>
      <c r="E251" t="s">
        <v>3653</v>
      </c>
      <c r="F251" t="s">
        <v>3652</v>
      </c>
      <c r="G251" t="str">
        <f t="shared" si="3"/>
        <v>Pending</v>
      </c>
    </row>
    <row r="252" spans="1:7">
      <c r="A252" t="s">
        <v>853</v>
      </c>
      <c r="B252" t="s">
        <v>3652</v>
      </c>
      <c r="C252" t="s">
        <v>3652</v>
      </c>
      <c r="D252" t="s">
        <v>3652</v>
      </c>
      <c r="E252" t="s">
        <v>3652</v>
      </c>
      <c r="F252" t="s">
        <v>3652</v>
      </c>
      <c r="G252" t="str">
        <f t="shared" si="3"/>
        <v>Completed</v>
      </c>
    </row>
    <row r="253" spans="1:7">
      <c r="A253" t="s">
        <v>856</v>
      </c>
      <c r="B253" t="s">
        <v>3653</v>
      </c>
      <c r="C253" t="s">
        <v>3653</v>
      </c>
      <c r="D253" t="s">
        <v>3653</v>
      </c>
      <c r="E253" t="s">
        <v>3652</v>
      </c>
      <c r="F253" t="s">
        <v>3653</v>
      </c>
      <c r="G253" t="str">
        <f t="shared" si="3"/>
        <v>Pending</v>
      </c>
    </row>
    <row r="254" spans="1:7">
      <c r="A254" t="s">
        <v>859</v>
      </c>
      <c r="B254" t="s">
        <v>3652</v>
      </c>
      <c r="C254" t="s">
        <v>3652</v>
      </c>
      <c r="D254" t="s">
        <v>3652</v>
      </c>
      <c r="E254" t="s">
        <v>3652</v>
      </c>
      <c r="F254" t="s">
        <v>3652</v>
      </c>
      <c r="G254" t="str">
        <f t="shared" si="3"/>
        <v>Completed</v>
      </c>
    </row>
    <row r="255" spans="1:7">
      <c r="A255" t="s">
        <v>862</v>
      </c>
      <c r="B255" t="s">
        <v>3652</v>
      </c>
      <c r="C255" t="s">
        <v>3652</v>
      </c>
      <c r="D255" t="s">
        <v>3652</v>
      </c>
      <c r="E255" t="s">
        <v>3652</v>
      </c>
      <c r="F255" t="s">
        <v>3652</v>
      </c>
      <c r="G255" t="str">
        <f t="shared" si="3"/>
        <v>Completed</v>
      </c>
    </row>
    <row r="256" spans="1:7">
      <c r="A256" t="s">
        <v>865</v>
      </c>
      <c r="B256" t="s">
        <v>3652</v>
      </c>
      <c r="C256" t="s">
        <v>3652</v>
      </c>
      <c r="D256" t="s">
        <v>3652</v>
      </c>
      <c r="E256" t="s">
        <v>3653</v>
      </c>
      <c r="F256" t="s">
        <v>3652</v>
      </c>
      <c r="G256" t="str">
        <f t="shared" si="3"/>
        <v>Pending</v>
      </c>
    </row>
    <row r="257" spans="1:7">
      <c r="A257" t="s">
        <v>868</v>
      </c>
      <c r="B257" t="s">
        <v>3652</v>
      </c>
      <c r="C257" t="s">
        <v>3652</v>
      </c>
      <c r="D257" t="s">
        <v>3652</v>
      </c>
      <c r="E257" t="s">
        <v>3652</v>
      </c>
      <c r="F257" t="s">
        <v>3653</v>
      </c>
      <c r="G257" t="str">
        <f t="shared" si="3"/>
        <v>Pending</v>
      </c>
    </row>
    <row r="258" spans="1:7">
      <c r="A258" t="s">
        <v>871</v>
      </c>
      <c r="B258" t="s">
        <v>3652</v>
      </c>
      <c r="C258" t="s">
        <v>3652</v>
      </c>
      <c r="D258" t="s">
        <v>3652</v>
      </c>
      <c r="E258" t="s">
        <v>3652</v>
      </c>
      <c r="F258" t="s">
        <v>3652</v>
      </c>
      <c r="G258" t="str">
        <f t="shared" ref="G258:G321" si="4">IF(AND(B258="Yes",C258="Yes",D258="Yes",E258="Yes",F258="Yes"),"Completed","Pending")</f>
        <v>Completed</v>
      </c>
    </row>
    <row r="259" spans="1:7">
      <c r="A259" t="s">
        <v>874</v>
      </c>
      <c r="B259" t="s">
        <v>3652</v>
      </c>
      <c r="C259" t="s">
        <v>3653</v>
      </c>
      <c r="D259" t="s">
        <v>3652</v>
      </c>
      <c r="E259" t="s">
        <v>3652</v>
      </c>
      <c r="F259" t="s">
        <v>3652</v>
      </c>
      <c r="G259" t="str">
        <f t="shared" si="4"/>
        <v>Pending</v>
      </c>
    </row>
    <row r="260" spans="1:7">
      <c r="A260" t="s">
        <v>877</v>
      </c>
      <c r="B260" t="s">
        <v>3653</v>
      </c>
      <c r="C260" t="s">
        <v>3652</v>
      </c>
      <c r="D260" t="s">
        <v>3652</v>
      </c>
      <c r="E260" t="s">
        <v>3652</v>
      </c>
      <c r="F260" t="s">
        <v>3652</v>
      </c>
      <c r="G260" t="str">
        <f t="shared" si="4"/>
        <v>Pending</v>
      </c>
    </row>
    <row r="261" spans="1:7">
      <c r="A261" t="s">
        <v>880</v>
      </c>
      <c r="B261" t="s">
        <v>3652</v>
      </c>
      <c r="C261" t="s">
        <v>3652</v>
      </c>
      <c r="D261" t="s">
        <v>3652</v>
      </c>
      <c r="E261" t="s">
        <v>3653</v>
      </c>
      <c r="F261" t="s">
        <v>3653</v>
      </c>
      <c r="G261" t="str">
        <f t="shared" si="4"/>
        <v>Pending</v>
      </c>
    </row>
    <row r="262" spans="1:7">
      <c r="A262" t="s">
        <v>883</v>
      </c>
      <c r="B262" t="s">
        <v>3652</v>
      </c>
      <c r="C262" t="s">
        <v>3652</v>
      </c>
      <c r="D262" t="s">
        <v>3653</v>
      </c>
      <c r="E262" t="s">
        <v>3652</v>
      </c>
      <c r="F262" t="s">
        <v>3652</v>
      </c>
      <c r="G262" t="str">
        <f t="shared" si="4"/>
        <v>Pending</v>
      </c>
    </row>
    <row r="263" spans="1:7">
      <c r="A263" t="s">
        <v>886</v>
      </c>
      <c r="B263" t="s">
        <v>3652</v>
      </c>
      <c r="C263" t="s">
        <v>3652</v>
      </c>
      <c r="D263" t="s">
        <v>3652</v>
      </c>
      <c r="E263" t="s">
        <v>3652</v>
      </c>
      <c r="F263" t="s">
        <v>3652</v>
      </c>
      <c r="G263" t="str">
        <f t="shared" si="4"/>
        <v>Completed</v>
      </c>
    </row>
    <row r="264" spans="1:7">
      <c r="A264" t="s">
        <v>889</v>
      </c>
      <c r="B264" t="s">
        <v>3652</v>
      </c>
      <c r="C264" t="s">
        <v>3652</v>
      </c>
      <c r="D264" t="s">
        <v>3652</v>
      </c>
      <c r="E264" t="s">
        <v>3652</v>
      </c>
      <c r="F264" t="s">
        <v>3652</v>
      </c>
      <c r="G264" t="str">
        <f t="shared" si="4"/>
        <v>Completed</v>
      </c>
    </row>
    <row r="265" spans="1:7">
      <c r="A265" t="s">
        <v>892</v>
      </c>
      <c r="B265" t="s">
        <v>3652</v>
      </c>
      <c r="C265" t="s">
        <v>3653</v>
      </c>
      <c r="D265" t="s">
        <v>3652</v>
      </c>
      <c r="E265" t="s">
        <v>3652</v>
      </c>
      <c r="F265" t="s">
        <v>3653</v>
      </c>
      <c r="G265" t="str">
        <f t="shared" si="4"/>
        <v>Pending</v>
      </c>
    </row>
    <row r="266" spans="1:7">
      <c r="A266" t="s">
        <v>895</v>
      </c>
      <c r="B266" t="s">
        <v>3652</v>
      </c>
      <c r="C266" t="s">
        <v>3652</v>
      </c>
      <c r="D266" t="s">
        <v>3652</v>
      </c>
      <c r="E266" t="s">
        <v>3653</v>
      </c>
      <c r="F266" t="s">
        <v>3652</v>
      </c>
      <c r="G266" t="str">
        <f t="shared" si="4"/>
        <v>Pending</v>
      </c>
    </row>
    <row r="267" spans="1:7">
      <c r="A267" t="s">
        <v>898</v>
      </c>
      <c r="B267" t="s">
        <v>3653</v>
      </c>
      <c r="C267" t="s">
        <v>3652</v>
      </c>
      <c r="D267" t="s">
        <v>3652</v>
      </c>
      <c r="E267" t="s">
        <v>3652</v>
      </c>
      <c r="F267" t="s">
        <v>3652</v>
      </c>
      <c r="G267" t="str">
        <f t="shared" si="4"/>
        <v>Pending</v>
      </c>
    </row>
    <row r="268" spans="1:7">
      <c r="A268" t="s">
        <v>901</v>
      </c>
      <c r="B268" t="s">
        <v>3652</v>
      </c>
      <c r="C268" t="s">
        <v>3652</v>
      </c>
      <c r="D268" t="s">
        <v>3652</v>
      </c>
      <c r="E268" t="s">
        <v>3652</v>
      </c>
      <c r="F268" t="s">
        <v>3652</v>
      </c>
      <c r="G268" t="str">
        <f t="shared" si="4"/>
        <v>Completed</v>
      </c>
    </row>
    <row r="269" spans="1:7">
      <c r="A269" t="s">
        <v>904</v>
      </c>
      <c r="B269" t="s">
        <v>3652</v>
      </c>
      <c r="C269" t="s">
        <v>3652</v>
      </c>
      <c r="D269" t="s">
        <v>3652</v>
      </c>
      <c r="E269" t="s">
        <v>3652</v>
      </c>
      <c r="F269" t="s">
        <v>3653</v>
      </c>
      <c r="G269" t="str">
        <f t="shared" si="4"/>
        <v>Pending</v>
      </c>
    </row>
    <row r="270" spans="1:7">
      <c r="A270" t="s">
        <v>907</v>
      </c>
      <c r="B270" t="s">
        <v>3652</v>
      </c>
      <c r="C270" t="s">
        <v>3652</v>
      </c>
      <c r="D270" t="s">
        <v>3652</v>
      </c>
      <c r="E270" t="s">
        <v>3652</v>
      </c>
      <c r="F270" t="s">
        <v>3652</v>
      </c>
      <c r="G270" t="str">
        <f t="shared" si="4"/>
        <v>Completed</v>
      </c>
    </row>
    <row r="271" spans="1:7">
      <c r="A271" t="s">
        <v>910</v>
      </c>
      <c r="B271" t="s">
        <v>3652</v>
      </c>
      <c r="C271" t="s">
        <v>3653</v>
      </c>
      <c r="D271" t="s">
        <v>3653</v>
      </c>
      <c r="E271" t="s">
        <v>3653</v>
      </c>
      <c r="F271" t="s">
        <v>3652</v>
      </c>
      <c r="G271" t="str">
        <f t="shared" si="4"/>
        <v>Pending</v>
      </c>
    </row>
    <row r="272" spans="1:7">
      <c r="A272" t="s">
        <v>913</v>
      </c>
      <c r="B272" t="s">
        <v>3652</v>
      </c>
      <c r="C272" t="s">
        <v>3652</v>
      </c>
      <c r="D272" t="s">
        <v>3652</v>
      </c>
      <c r="E272" t="s">
        <v>3652</v>
      </c>
      <c r="F272" t="s">
        <v>3652</v>
      </c>
      <c r="G272" t="str">
        <f t="shared" si="4"/>
        <v>Completed</v>
      </c>
    </row>
    <row r="273" spans="1:7">
      <c r="A273" t="s">
        <v>916</v>
      </c>
      <c r="B273" t="s">
        <v>3652</v>
      </c>
      <c r="C273" t="s">
        <v>3652</v>
      </c>
      <c r="D273" t="s">
        <v>3652</v>
      </c>
      <c r="E273" t="s">
        <v>3652</v>
      </c>
      <c r="F273" t="s">
        <v>3653</v>
      </c>
      <c r="G273" t="str">
        <f t="shared" si="4"/>
        <v>Pending</v>
      </c>
    </row>
    <row r="274" spans="1:7">
      <c r="A274" t="s">
        <v>919</v>
      </c>
      <c r="B274" t="s">
        <v>3653</v>
      </c>
      <c r="C274" t="s">
        <v>3652</v>
      </c>
      <c r="D274" t="s">
        <v>3652</v>
      </c>
      <c r="E274" t="s">
        <v>3652</v>
      </c>
      <c r="F274" t="s">
        <v>3652</v>
      </c>
      <c r="G274" t="str">
        <f t="shared" si="4"/>
        <v>Pending</v>
      </c>
    </row>
    <row r="275" spans="1:7">
      <c r="A275" t="s">
        <v>922</v>
      </c>
      <c r="B275" t="s">
        <v>3652</v>
      </c>
      <c r="C275" t="s">
        <v>3652</v>
      </c>
      <c r="D275" t="s">
        <v>3652</v>
      </c>
      <c r="E275" t="s">
        <v>3652</v>
      </c>
      <c r="F275" t="s">
        <v>3652</v>
      </c>
      <c r="G275" t="str">
        <f t="shared" si="4"/>
        <v>Completed</v>
      </c>
    </row>
    <row r="276" spans="1:7">
      <c r="A276" t="s">
        <v>925</v>
      </c>
      <c r="B276" t="s">
        <v>3652</v>
      </c>
      <c r="C276" t="s">
        <v>3652</v>
      </c>
      <c r="D276" t="s">
        <v>3652</v>
      </c>
      <c r="E276" t="s">
        <v>3653</v>
      </c>
      <c r="F276" t="s">
        <v>3652</v>
      </c>
      <c r="G276" t="str">
        <f t="shared" si="4"/>
        <v>Pending</v>
      </c>
    </row>
    <row r="277" spans="1:7">
      <c r="A277" t="s">
        <v>928</v>
      </c>
      <c r="B277" t="s">
        <v>3652</v>
      </c>
      <c r="C277" t="s">
        <v>3653</v>
      </c>
      <c r="D277" t="s">
        <v>3652</v>
      </c>
      <c r="E277" t="s">
        <v>3652</v>
      </c>
      <c r="F277" t="s">
        <v>3653</v>
      </c>
      <c r="G277" t="str">
        <f t="shared" si="4"/>
        <v>Pending</v>
      </c>
    </row>
    <row r="278" spans="1:7">
      <c r="A278" t="s">
        <v>931</v>
      </c>
      <c r="B278" t="s">
        <v>3652</v>
      </c>
      <c r="C278" t="s">
        <v>3652</v>
      </c>
      <c r="D278" t="s">
        <v>3652</v>
      </c>
      <c r="E278" t="s">
        <v>3652</v>
      </c>
      <c r="F278" t="s">
        <v>3652</v>
      </c>
      <c r="G278" t="str">
        <f t="shared" si="4"/>
        <v>Completed</v>
      </c>
    </row>
    <row r="279" spans="1:7">
      <c r="A279" t="s">
        <v>934</v>
      </c>
      <c r="B279" t="s">
        <v>3652</v>
      </c>
      <c r="C279" t="s">
        <v>3652</v>
      </c>
      <c r="D279" t="s">
        <v>3652</v>
      </c>
      <c r="E279" t="s">
        <v>3652</v>
      </c>
      <c r="F279" t="s">
        <v>3652</v>
      </c>
      <c r="G279" t="str">
        <f t="shared" si="4"/>
        <v>Completed</v>
      </c>
    </row>
    <row r="280" spans="1:7">
      <c r="A280" t="s">
        <v>937</v>
      </c>
      <c r="B280" t="s">
        <v>3652</v>
      </c>
      <c r="C280" t="s">
        <v>3652</v>
      </c>
      <c r="D280" t="s">
        <v>3653</v>
      </c>
      <c r="E280" t="s">
        <v>3652</v>
      </c>
      <c r="F280" t="s">
        <v>3652</v>
      </c>
      <c r="G280" t="str">
        <f t="shared" si="4"/>
        <v>Pending</v>
      </c>
    </row>
    <row r="281" spans="1:7">
      <c r="A281" t="s">
        <v>940</v>
      </c>
      <c r="B281" t="s">
        <v>3653</v>
      </c>
      <c r="C281" t="s">
        <v>3652</v>
      </c>
      <c r="D281" t="s">
        <v>3652</v>
      </c>
      <c r="E281" t="s">
        <v>3653</v>
      </c>
      <c r="F281" t="s">
        <v>3653</v>
      </c>
      <c r="G281" t="str">
        <f t="shared" si="4"/>
        <v>Pending</v>
      </c>
    </row>
    <row r="282" spans="1:7">
      <c r="A282" t="s">
        <v>943</v>
      </c>
      <c r="B282" t="s">
        <v>3652</v>
      </c>
      <c r="C282" t="s">
        <v>3652</v>
      </c>
      <c r="D282" t="s">
        <v>3652</v>
      </c>
      <c r="E282" t="s">
        <v>3652</v>
      </c>
      <c r="F282" t="s">
        <v>3652</v>
      </c>
      <c r="G282" t="str">
        <f t="shared" si="4"/>
        <v>Completed</v>
      </c>
    </row>
    <row r="283" spans="1:7">
      <c r="A283" t="s">
        <v>946</v>
      </c>
      <c r="B283" t="s">
        <v>3652</v>
      </c>
      <c r="C283" t="s">
        <v>3653</v>
      </c>
      <c r="D283" t="s">
        <v>3652</v>
      </c>
      <c r="E283" t="s">
        <v>3652</v>
      </c>
      <c r="F283" t="s">
        <v>3652</v>
      </c>
      <c r="G283" t="str">
        <f t="shared" si="4"/>
        <v>Pending</v>
      </c>
    </row>
    <row r="284" spans="1:7">
      <c r="A284" t="s">
        <v>949</v>
      </c>
      <c r="B284" t="s">
        <v>3652</v>
      </c>
      <c r="C284" t="s">
        <v>3652</v>
      </c>
      <c r="D284" t="s">
        <v>3652</v>
      </c>
      <c r="E284" t="s">
        <v>3652</v>
      </c>
      <c r="F284" t="s">
        <v>3652</v>
      </c>
      <c r="G284" t="str">
        <f t="shared" si="4"/>
        <v>Completed</v>
      </c>
    </row>
    <row r="285" spans="1:7">
      <c r="A285" t="s">
        <v>952</v>
      </c>
      <c r="B285" t="s">
        <v>3652</v>
      </c>
      <c r="C285" t="s">
        <v>3652</v>
      </c>
      <c r="D285" t="s">
        <v>3652</v>
      </c>
      <c r="E285" t="s">
        <v>3652</v>
      </c>
      <c r="F285" t="s">
        <v>3653</v>
      </c>
      <c r="G285" t="str">
        <f t="shared" si="4"/>
        <v>Pending</v>
      </c>
    </row>
    <row r="286" spans="1:7">
      <c r="A286" t="s">
        <v>955</v>
      </c>
      <c r="B286" t="s">
        <v>3652</v>
      </c>
      <c r="C286" t="s">
        <v>3652</v>
      </c>
      <c r="D286" t="s">
        <v>3652</v>
      </c>
      <c r="E286" t="s">
        <v>3653</v>
      </c>
      <c r="F286" t="s">
        <v>3652</v>
      </c>
      <c r="G286" t="str">
        <f t="shared" si="4"/>
        <v>Pending</v>
      </c>
    </row>
    <row r="287" spans="1:7">
      <c r="A287" t="s">
        <v>958</v>
      </c>
      <c r="B287" t="s">
        <v>3652</v>
      </c>
      <c r="C287" t="s">
        <v>3652</v>
      </c>
      <c r="D287" t="s">
        <v>3652</v>
      </c>
      <c r="E287" t="s">
        <v>3652</v>
      </c>
      <c r="F287" t="s">
        <v>3652</v>
      </c>
      <c r="G287" t="str">
        <f t="shared" si="4"/>
        <v>Completed</v>
      </c>
    </row>
    <row r="288" spans="1:7">
      <c r="A288" t="s">
        <v>961</v>
      </c>
      <c r="B288" t="s">
        <v>3653</v>
      </c>
      <c r="C288" t="s">
        <v>3652</v>
      </c>
      <c r="D288" t="s">
        <v>3652</v>
      </c>
      <c r="E288" t="s">
        <v>3652</v>
      </c>
      <c r="F288" t="s">
        <v>3652</v>
      </c>
      <c r="G288" t="str">
        <f t="shared" si="4"/>
        <v>Pending</v>
      </c>
    </row>
    <row r="289" spans="1:7">
      <c r="A289" t="s">
        <v>964</v>
      </c>
      <c r="B289" t="s">
        <v>3652</v>
      </c>
      <c r="C289" t="s">
        <v>3653</v>
      </c>
      <c r="D289" t="s">
        <v>3653</v>
      </c>
      <c r="E289" t="s">
        <v>3652</v>
      </c>
      <c r="F289" t="s">
        <v>3653</v>
      </c>
      <c r="G289" t="str">
        <f t="shared" si="4"/>
        <v>Pending</v>
      </c>
    </row>
    <row r="290" spans="1:7">
      <c r="A290" t="s">
        <v>967</v>
      </c>
      <c r="B290" t="s">
        <v>3652</v>
      </c>
      <c r="C290" t="s">
        <v>3652</v>
      </c>
      <c r="D290" t="s">
        <v>3652</v>
      </c>
      <c r="E290" t="s">
        <v>3652</v>
      </c>
      <c r="F290" t="s">
        <v>3652</v>
      </c>
      <c r="G290" t="str">
        <f t="shared" si="4"/>
        <v>Completed</v>
      </c>
    </row>
    <row r="291" spans="1:7">
      <c r="A291" t="s">
        <v>970</v>
      </c>
      <c r="B291" t="s">
        <v>3652</v>
      </c>
      <c r="C291" t="s">
        <v>3652</v>
      </c>
      <c r="D291" t="s">
        <v>3652</v>
      </c>
      <c r="E291" t="s">
        <v>3653</v>
      </c>
      <c r="F291" t="s">
        <v>3652</v>
      </c>
      <c r="G291" t="str">
        <f t="shared" si="4"/>
        <v>Pending</v>
      </c>
    </row>
    <row r="292" spans="1:7">
      <c r="A292" t="s">
        <v>973</v>
      </c>
      <c r="B292" t="s">
        <v>3652</v>
      </c>
      <c r="C292" t="s">
        <v>3652</v>
      </c>
      <c r="D292" t="s">
        <v>3652</v>
      </c>
      <c r="E292" t="s">
        <v>3652</v>
      </c>
      <c r="F292" t="s">
        <v>3652</v>
      </c>
      <c r="G292" t="str">
        <f t="shared" si="4"/>
        <v>Completed</v>
      </c>
    </row>
    <row r="293" spans="1:7">
      <c r="A293" t="s">
        <v>976</v>
      </c>
      <c r="B293" t="s">
        <v>3652</v>
      </c>
      <c r="C293" t="s">
        <v>3652</v>
      </c>
      <c r="D293" t="s">
        <v>3652</v>
      </c>
      <c r="E293" t="s">
        <v>3652</v>
      </c>
      <c r="F293" t="s">
        <v>3653</v>
      </c>
      <c r="G293" t="str">
        <f t="shared" si="4"/>
        <v>Pending</v>
      </c>
    </row>
    <row r="294" spans="1:7">
      <c r="A294" t="s">
        <v>979</v>
      </c>
      <c r="B294" t="s">
        <v>3652</v>
      </c>
      <c r="C294" t="s">
        <v>3652</v>
      </c>
      <c r="D294" t="s">
        <v>3652</v>
      </c>
      <c r="E294" t="s">
        <v>3652</v>
      </c>
      <c r="F294" t="s">
        <v>3652</v>
      </c>
      <c r="G294" t="str">
        <f t="shared" si="4"/>
        <v>Completed</v>
      </c>
    </row>
    <row r="295" spans="1:7">
      <c r="A295" t="s">
        <v>982</v>
      </c>
      <c r="B295" t="s">
        <v>3653</v>
      </c>
      <c r="C295" t="s">
        <v>3653</v>
      </c>
      <c r="D295" t="s">
        <v>3652</v>
      </c>
      <c r="E295" t="s">
        <v>3652</v>
      </c>
      <c r="F295" t="s">
        <v>3652</v>
      </c>
      <c r="G295" t="str">
        <f t="shared" si="4"/>
        <v>Pending</v>
      </c>
    </row>
    <row r="296" spans="1:7">
      <c r="A296" t="s">
        <v>985</v>
      </c>
      <c r="B296" t="s">
        <v>3652</v>
      </c>
      <c r="C296" t="s">
        <v>3652</v>
      </c>
      <c r="D296" t="s">
        <v>3652</v>
      </c>
      <c r="E296" t="s">
        <v>3653</v>
      </c>
      <c r="F296" t="s">
        <v>3652</v>
      </c>
      <c r="G296" t="str">
        <f t="shared" si="4"/>
        <v>Pending</v>
      </c>
    </row>
    <row r="297" spans="1:7">
      <c r="A297" t="s">
        <v>988</v>
      </c>
      <c r="B297" t="s">
        <v>3652</v>
      </c>
      <c r="C297" t="s">
        <v>3652</v>
      </c>
      <c r="D297" t="s">
        <v>3652</v>
      </c>
      <c r="E297" t="s">
        <v>3652</v>
      </c>
      <c r="F297" t="s">
        <v>3653</v>
      </c>
      <c r="G297" t="str">
        <f t="shared" si="4"/>
        <v>Pending</v>
      </c>
    </row>
    <row r="298" spans="1:7">
      <c r="A298" t="s">
        <v>991</v>
      </c>
      <c r="B298" t="s">
        <v>3652</v>
      </c>
      <c r="C298" t="s">
        <v>3652</v>
      </c>
      <c r="D298" t="s">
        <v>3653</v>
      </c>
      <c r="E298" t="s">
        <v>3652</v>
      </c>
      <c r="F298" t="s">
        <v>3652</v>
      </c>
      <c r="G298" t="str">
        <f t="shared" si="4"/>
        <v>Pending</v>
      </c>
    </row>
    <row r="299" spans="1:7">
      <c r="A299" t="s">
        <v>994</v>
      </c>
      <c r="B299" t="s">
        <v>3652</v>
      </c>
      <c r="C299" t="s">
        <v>3652</v>
      </c>
      <c r="D299" t="s">
        <v>3652</v>
      </c>
      <c r="E299" t="s">
        <v>3652</v>
      </c>
      <c r="F299" t="s">
        <v>3652</v>
      </c>
      <c r="G299" t="str">
        <f t="shared" si="4"/>
        <v>Completed</v>
      </c>
    </row>
    <row r="300" spans="1:7">
      <c r="A300" t="s">
        <v>997</v>
      </c>
      <c r="B300" t="s">
        <v>3652</v>
      </c>
      <c r="C300" t="s">
        <v>3652</v>
      </c>
      <c r="D300" t="s">
        <v>3652</v>
      </c>
      <c r="E300" t="s">
        <v>3652</v>
      </c>
      <c r="F300" t="s">
        <v>3652</v>
      </c>
      <c r="G300" t="str">
        <f t="shared" si="4"/>
        <v>Completed</v>
      </c>
    </row>
    <row r="301" spans="1:7">
      <c r="A301" t="s">
        <v>1000</v>
      </c>
      <c r="B301" t="s">
        <v>3652</v>
      </c>
      <c r="C301" t="s">
        <v>3653</v>
      </c>
      <c r="D301" t="s">
        <v>3652</v>
      </c>
      <c r="E301" t="s">
        <v>3653</v>
      </c>
      <c r="F301" t="s">
        <v>3653</v>
      </c>
      <c r="G301" t="str">
        <f t="shared" si="4"/>
        <v>Pending</v>
      </c>
    </row>
    <row r="302" spans="1:7">
      <c r="A302" t="s">
        <v>1003</v>
      </c>
      <c r="B302" t="s">
        <v>3653</v>
      </c>
      <c r="C302" t="s">
        <v>3652</v>
      </c>
      <c r="D302" t="s">
        <v>3652</v>
      </c>
      <c r="E302" t="s">
        <v>3652</v>
      </c>
      <c r="F302" t="s">
        <v>3652</v>
      </c>
      <c r="G302" t="str">
        <f t="shared" si="4"/>
        <v>Pending</v>
      </c>
    </row>
    <row r="303" spans="1:7">
      <c r="A303" t="s">
        <v>1006</v>
      </c>
      <c r="B303" t="s">
        <v>3652</v>
      </c>
      <c r="C303" t="s">
        <v>3652</v>
      </c>
      <c r="D303" t="s">
        <v>3652</v>
      </c>
      <c r="E303" t="s">
        <v>3652</v>
      </c>
      <c r="F303" t="s">
        <v>3652</v>
      </c>
      <c r="G303" t="str">
        <f t="shared" si="4"/>
        <v>Completed</v>
      </c>
    </row>
    <row r="304" spans="1:7">
      <c r="A304" t="s">
        <v>1009</v>
      </c>
      <c r="B304" t="s">
        <v>3652</v>
      </c>
      <c r="C304" t="s">
        <v>3652</v>
      </c>
      <c r="D304" t="s">
        <v>3652</v>
      </c>
      <c r="E304" t="s">
        <v>3652</v>
      </c>
      <c r="F304" t="s">
        <v>3652</v>
      </c>
      <c r="G304" t="str">
        <f t="shared" si="4"/>
        <v>Completed</v>
      </c>
    </row>
    <row r="305" spans="1:7">
      <c r="A305" t="s">
        <v>1012</v>
      </c>
      <c r="B305" t="s">
        <v>3652</v>
      </c>
      <c r="C305" t="s">
        <v>3652</v>
      </c>
      <c r="D305" t="s">
        <v>3652</v>
      </c>
      <c r="E305" t="s">
        <v>3652</v>
      </c>
      <c r="F305" t="s">
        <v>3653</v>
      </c>
      <c r="G305" t="str">
        <f t="shared" si="4"/>
        <v>Pending</v>
      </c>
    </row>
    <row r="306" spans="1:7">
      <c r="A306" t="s">
        <v>1015</v>
      </c>
      <c r="B306" t="s">
        <v>3652</v>
      </c>
      <c r="C306" t="s">
        <v>3652</v>
      </c>
      <c r="D306" t="s">
        <v>3652</v>
      </c>
      <c r="E306" t="s">
        <v>3653</v>
      </c>
      <c r="F306" t="s">
        <v>3652</v>
      </c>
      <c r="G306" t="str">
        <f t="shared" si="4"/>
        <v>Pending</v>
      </c>
    </row>
    <row r="307" spans="1:7">
      <c r="A307" t="s">
        <v>1018</v>
      </c>
      <c r="B307" t="s">
        <v>3652</v>
      </c>
      <c r="C307" t="s">
        <v>3653</v>
      </c>
      <c r="D307" t="s">
        <v>3653</v>
      </c>
      <c r="E307" t="s">
        <v>3652</v>
      </c>
      <c r="F307" t="s">
        <v>3652</v>
      </c>
      <c r="G307" t="str">
        <f t="shared" si="4"/>
        <v>Pending</v>
      </c>
    </row>
    <row r="308" spans="1:7">
      <c r="A308" t="s">
        <v>1021</v>
      </c>
      <c r="B308" t="s">
        <v>3652</v>
      </c>
      <c r="C308" t="s">
        <v>3652</v>
      </c>
      <c r="D308" t="s">
        <v>3652</v>
      </c>
      <c r="E308" t="s">
        <v>3652</v>
      </c>
      <c r="F308" t="s">
        <v>3652</v>
      </c>
      <c r="G308" t="str">
        <f t="shared" si="4"/>
        <v>Completed</v>
      </c>
    </row>
    <row r="309" spans="1:7">
      <c r="A309" t="s">
        <v>1024</v>
      </c>
      <c r="B309" t="s">
        <v>3653</v>
      </c>
      <c r="C309" t="s">
        <v>3652</v>
      </c>
      <c r="D309" t="s">
        <v>3652</v>
      </c>
      <c r="E309" t="s">
        <v>3652</v>
      </c>
      <c r="F309" t="s">
        <v>3653</v>
      </c>
      <c r="G309" t="str">
        <f t="shared" si="4"/>
        <v>Pending</v>
      </c>
    </row>
    <row r="310" spans="1:7">
      <c r="A310" t="s">
        <v>1027</v>
      </c>
      <c r="B310" t="s">
        <v>3652</v>
      </c>
      <c r="C310" t="s">
        <v>3652</v>
      </c>
      <c r="D310" t="s">
        <v>3652</v>
      </c>
      <c r="E310" t="s">
        <v>3652</v>
      </c>
      <c r="F310" t="s">
        <v>3652</v>
      </c>
      <c r="G310" t="str">
        <f t="shared" si="4"/>
        <v>Completed</v>
      </c>
    </row>
    <row r="311" spans="1:7">
      <c r="A311" t="s">
        <v>1030</v>
      </c>
      <c r="B311" t="s">
        <v>3652</v>
      </c>
      <c r="C311" t="s">
        <v>3652</v>
      </c>
      <c r="D311" t="s">
        <v>3652</v>
      </c>
      <c r="E311" t="s">
        <v>3653</v>
      </c>
      <c r="F311" t="s">
        <v>3652</v>
      </c>
      <c r="G311" t="str">
        <f t="shared" si="4"/>
        <v>Pending</v>
      </c>
    </row>
    <row r="312" spans="1:7">
      <c r="A312" t="s">
        <v>1033</v>
      </c>
      <c r="B312" t="s">
        <v>3652</v>
      </c>
      <c r="C312" t="s">
        <v>3652</v>
      </c>
      <c r="D312" t="s">
        <v>3652</v>
      </c>
      <c r="E312" t="s">
        <v>3652</v>
      </c>
      <c r="F312" t="s">
        <v>3652</v>
      </c>
      <c r="G312" t="str">
        <f t="shared" si="4"/>
        <v>Completed</v>
      </c>
    </row>
    <row r="313" spans="1:7">
      <c r="A313" t="s">
        <v>1036</v>
      </c>
      <c r="B313" t="s">
        <v>3652</v>
      </c>
      <c r="C313" t="s">
        <v>3653</v>
      </c>
      <c r="D313" t="s">
        <v>3652</v>
      </c>
      <c r="E313" t="s">
        <v>3652</v>
      </c>
      <c r="F313" t="s">
        <v>3653</v>
      </c>
      <c r="G313" t="str">
        <f t="shared" si="4"/>
        <v>Pending</v>
      </c>
    </row>
    <row r="314" spans="1:7">
      <c r="A314" t="s">
        <v>1039</v>
      </c>
      <c r="B314" t="s">
        <v>3652</v>
      </c>
      <c r="C314" t="s">
        <v>3652</v>
      </c>
      <c r="D314" t="s">
        <v>3652</v>
      </c>
      <c r="E314" t="s">
        <v>3652</v>
      </c>
      <c r="F314" t="s">
        <v>3652</v>
      </c>
      <c r="G314" t="str">
        <f t="shared" si="4"/>
        <v>Completed</v>
      </c>
    </row>
    <row r="315" spans="1:7">
      <c r="A315" t="s">
        <v>1042</v>
      </c>
      <c r="B315" t="s">
        <v>3652</v>
      </c>
      <c r="C315" t="s">
        <v>3652</v>
      </c>
      <c r="D315" t="s">
        <v>3652</v>
      </c>
      <c r="E315" t="s">
        <v>3652</v>
      </c>
      <c r="F315" t="s">
        <v>3652</v>
      </c>
      <c r="G315" t="str">
        <f t="shared" si="4"/>
        <v>Completed</v>
      </c>
    </row>
    <row r="316" spans="1:7">
      <c r="A316" t="s">
        <v>1045</v>
      </c>
      <c r="B316" t="s">
        <v>3653</v>
      </c>
      <c r="C316" t="s">
        <v>3652</v>
      </c>
      <c r="D316" t="s">
        <v>3653</v>
      </c>
      <c r="E316" t="s">
        <v>3653</v>
      </c>
      <c r="F316" t="s">
        <v>3652</v>
      </c>
      <c r="G316" t="str">
        <f t="shared" si="4"/>
        <v>Pending</v>
      </c>
    </row>
    <row r="317" spans="1:7">
      <c r="A317" t="s">
        <v>1048</v>
      </c>
      <c r="B317" t="s">
        <v>3652</v>
      </c>
      <c r="C317" t="s">
        <v>3652</v>
      </c>
      <c r="D317" t="s">
        <v>3652</v>
      </c>
      <c r="E317" t="s">
        <v>3652</v>
      </c>
      <c r="F317" t="s">
        <v>3653</v>
      </c>
      <c r="G317" t="str">
        <f t="shared" si="4"/>
        <v>Pending</v>
      </c>
    </row>
    <row r="318" spans="1:7">
      <c r="A318" t="s">
        <v>1051</v>
      </c>
      <c r="B318" t="s">
        <v>3652</v>
      </c>
      <c r="C318" t="s">
        <v>3652</v>
      </c>
      <c r="D318" t="s">
        <v>3652</v>
      </c>
      <c r="E318" t="s">
        <v>3652</v>
      </c>
      <c r="F318" t="s">
        <v>3652</v>
      </c>
      <c r="G318" t="str">
        <f t="shared" si="4"/>
        <v>Completed</v>
      </c>
    </row>
    <row r="319" spans="1:7">
      <c r="A319" t="s">
        <v>1054</v>
      </c>
      <c r="B319" t="s">
        <v>3652</v>
      </c>
      <c r="C319" t="s">
        <v>3653</v>
      </c>
      <c r="D319" t="s">
        <v>3652</v>
      </c>
      <c r="E319" t="s">
        <v>3652</v>
      </c>
      <c r="F319" t="s">
        <v>3652</v>
      </c>
      <c r="G319" t="str">
        <f t="shared" si="4"/>
        <v>Pending</v>
      </c>
    </row>
    <row r="320" spans="1:7">
      <c r="A320" t="s">
        <v>1057</v>
      </c>
      <c r="B320" t="s">
        <v>3652</v>
      </c>
      <c r="C320" t="s">
        <v>3652</v>
      </c>
      <c r="D320" t="s">
        <v>3652</v>
      </c>
      <c r="E320" t="s">
        <v>3652</v>
      </c>
      <c r="F320" t="s">
        <v>3652</v>
      </c>
      <c r="G320" t="str">
        <f t="shared" si="4"/>
        <v>Completed</v>
      </c>
    </row>
    <row r="321" spans="1:7">
      <c r="A321" t="s">
        <v>1060</v>
      </c>
      <c r="B321" t="s">
        <v>3652</v>
      </c>
      <c r="C321" t="s">
        <v>3652</v>
      </c>
      <c r="D321" t="s">
        <v>3652</v>
      </c>
      <c r="E321" t="s">
        <v>3653</v>
      </c>
      <c r="F321" t="s">
        <v>3653</v>
      </c>
      <c r="G321" t="str">
        <f t="shared" si="4"/>
        <v>Pending</v>
      </c>
    </row>
    <row r="322" spans="1:7">
      <c r="A322" t="s">
        <v>1063</v>
      </c>
      <c r="B322" t="s">
        <v>3652</v>
      </c>
      <c r="C322" t="s">
        <v>3652</v>
      </c>
      <c r="D322" t="s">
        <v>3652</v>
      </c>
      <c r="E322" t="s">
        <v>3652</v>
      </c>
      <c r="F322" t="s">
        <v>3652</v>
      </c>
      <c r="G322" t="str">
        <f t="shared" ref="G322:G385" si="5">IF(AND(B322="Yes",C322="Yes",D322="Yes",E322="Yes",F322="Yes"),"Completed","Pending")</f>
        <v>Completed</v>
      </c>
    </row>
    <row r="323" spans="1:7">
      <c r="A323" t="s">
        <v>1066</v>
      </c>
      <c r="B323" t="s">
        <v>3653</v>
      </c>
      <c r="C323" t="s">
        <v>3652</v>
      </c>
      <c r="D323" t="s">
        <v>3652</v>
      </c>
      <c r="E323" t="s">
        <v>3652</v>
      </c>
      <c r="F323" t="s">
        <v>3652</v>
      </c>
      <c r="G323" t="str">
        <f t="shared" si="5"/>
        <v>Pending</v>
      </c>
    </row>
    <row r="324" spans="1:7">
      <c r="A324" t="s">
        <v>1069</v>
      </c>
      <c r="B324" t="s">
        <v>3652</v>
      </c>
      <c r="C324" t="s">
        <v>3652</v>
      </c>
      <c r="D324" t="s">
        <v>3652</v>
      </c>
      <c r="E324" t="s">
        <v>3652</v>
      </c>
      <c r="F324" t="s">
        <v>3652</v>
      </c>
      <c r="G324" t="str">
        <f t="shared" si="5"/>
        <v>Completed</v>
      </c>
    </row>
    <row r="325" spans="1:7">
      <c r="A325" t="s">
        <v>1072</v>
      </c>
      <c r="B325" t="s">
        <v>3652</v>
      </c>
      <c r="C325" t="s">
        <v>3653</v>
      </c>
      <c r="D325" t="s">
        <v>3653</v>
      </c>
      <c r="E325" t="s">
        <v>3652</v>
      </c>
      <c r="F325" t="s">
        <v>3653</v>
      </c>
      <c r="G325" t="str">
        <f t="shared" si="5"/>
        <v>Pending</v>
      </c>
    </row>
    <row r="326" spans="1:7">
      <c r="A326" t="s">
        <v>1075</v>
      </c>
      <c r="B326" t="s">
        <v>3652</v>
      </c>
      <c r="C326" t="s">
        <v>3652</v>
      </c>
      <c r="D326" t="s">
        <v>3652</v>
      </c>
      <c r="E326" t="s">
        <v>3653</v>
      </c>
      <c r="F326" t="s">
        <v>3652</v>
      </c>
      <c r="G326" t="str">
        <f t="shared" si="5"/>
        <v>Pending</v>
      </c>
    </row>
    <row r="327" spans="1:7">
      <c r="A327" t="s">
        <v>1078</v>
      </c>
      <c r="B327" t="s">
        <v>3652</v>
      </c>
      <c r="C327" t="s">
        <v>3652</v>
      </c>
      <c r="D327" t="s">
        <v>3652</v>
      </c>
      <c r="E327" t="s">
        <v>3652</v>
      </c>
      <c r="F327" t="s">
        <v>3652</v>
      </c>
      <c r="G327" t="str">
        <f t="shared" si="5"/>
        <v>Completed</v>
      </c>
    </row>
    <row r="328" spans="1:7">
      <c r="A328" t="s">
        <v>1081</v>
      </c>
      <c r="B328" t="s">
        <v>3652</v>
      </c>
      <c r="C328" t="s">
        <v>3652</v>
      </c>
      <c r="D328" t="s">
        <v>3652</v>
      </c>
      <c r="E328" t="s">
        <v>3652</v>
      </c>
      <c r="F328" t="s">
        <v>3652</v>
      </c>
      <c r="G328" t="str">
        <f t="shared" si="5"/>
        <v>Completed</v>
      </c>
    </row>
    <row r="329" spans="1:7">
      <c r="A329" t="s">
        <v>1084</v>
      </c>
      <c r="B329" t="s">
        <v>3652</v>
      </c>
      <c r="C329" t="s">
        <v>3652</v>
      </c>
      <c r="D329" t="s">
        <v>3652</v>
      </c>
      <c r="E329" t="s">
        <v>3652</v>
      </c>
      <c r="F329" t="s">
        <v>3653</v>
      </c>
      <c r="G329" t="str">
        <f t="shared" si="5"/>
        <v>Pending</v>
      </c>
    </row>
    <row r="330" spans="1:7">
      <c r="A330" t="s">
        <v>1087</v>
      </c>
      <c r="B330" t="s">
        <v>3653</v>
      </c>
      <c r="C330" t="s">
        <v>3652</v>
      </c>
      <c r="D330" t="s">
        <v>3652</v>
      </c>
      <c r="E330" t="s">
        <v>3652</v>
      </c>
      <c r="F330" t="s">
        <v>3652</v>
      </c>
      <c r="G330" t="str">
        <f t="shared" si="5"/>
        <v>Pending</v>
      </c>
    </row>
    <row r="331" spans="1:7">
      <c r="A331" t="s">
        <v>1090</v>
      </c>
      <c r="B331" t="s">
        <v>3652</v>
      </c>
      <c r="C331" t="s">
        <v>3653</v>
      </c>
      <c r="D331" t="s">
        <v>3652</v>
      </c>
      <c r="E331" t="s">
        <v>3653</v>
      </c>
      <c r="F331" t="s">
        <v>3652</v>
      </c>
      <c r="G331" t="str">
        <f t="shared" si="5"/>
        <v>Pending</v>
      </c>
    </row>
    <row r="332" spans="1:7">
      <c r="A332" t="s">
        <v>1093</v>
      </c>
      <c r="B332" t="s">
        <v>3652</v>
      </c>
      <c r="C332" t="s">
        <v>3652</v>
      </c>
      <c r="D332" t="s">
        <v>3652</v>
      </c>
      <c r="E332" t="s">
        <v>3652</v>
      </c>
      <c r="F332" t="s">
        <v>3652</v>
      </c>
      <c r="G332" t="str">
        <f t="shared" si="5"/>
        <v>Completed</v>
      </c>
    </row>
    <row r="333" spans="1:7">
      <c r="A333" t="s">
        <v>1096</v>
      </c>
      <c r="B333" t="s">
        <v>3652</v>
      </c>
      <c r="C333" t="s">
        <v>3652</v>
      </c>
      <c r="D333" t="s">
        <v>3652</v>
      </c>
      <c r="E333" t="s">
        <v>3652</v>
      </c>
      <c r="F333" t="s">
        <v>3653</v>
      </c>
      <c r="G333" t="str">
        <f t="shared" si="5"/>
        <v>Pending</v>
      </c>
    </row>
    <row r="334" spans="1:7">
      <c r="A334" t="s">
        <v>1099</v>
      </c>
      <c r="B334" t="s">
        <v>3652</v>
      </c>
      <c r="C334" t="s">
        <v>3652</v>
      </c>
      <c r="D334" t="s">
        <v>3653</v>
      </c>
      <c r="E334" t="s">
        <v>3652</v>
      </c>
      <c r="F334" t="s">
        <v>3652</v>
      </c>
      <c r="G334" t="str">
        <f t="shared" si="5"/>
        <v>Pending</v>
      </c>
    </row>
    <row r="335" spans="1:7">
      <c r="A335" t="s">
        <v>1102</v>
      </c>
      <c r="B335" t="s">
        <v>3652</v>
      </c>
      <c r="C335" t="s">
        <v>3652</v>
      </c>
      <c r="D335" t="s">
        <v>3652</v>
      </c>
      <c r="E335" t="s">
        <v>3652</v>
      </c>
      <c r="F335" t="s">
        <v>3652</v>
      </c>
      <c r="G335" t="str">
        <f t="shared" si="5"/>
        <v>Completed</v>
      </c>
    </row>
    <row r="336" spans="1:7">
      <c r="A336" t="s">
        <v>1105</v>
      </c>
      <c r="B336" t="s">
        <v>3652</v>
      </c>
      <c r="C336" t="s">
        <v>3652</v>
      </c>
      <c r="D336" t="s">
        <v>3652</v>
      </c>
      <c r="E336" t="s">
        <v>3653</v>
      </c>
      <c r="F336" t="s">
        <v>3652</v>
      </c>
      <c r="G336" t="str">
        <f t="shared" si="5"/>
        <v>Pending</v>
      </c>
    </row>
    <row r="337" spans="1:7">
      <c r="A337" t="s">
        <v>1108</v>
      </c>
      <c r="B337" t="s">
        <v>3653</v>
      </c>
      <c r="C337" t="s">
        <v>3653</v>
      </c>
      <c r="D337" t="s">
        <v>3652</v>
      </c>
      <c r="E337" t="s">
        <v>3652</v>
      </c>
      <c r="F337" t="s">
        <v>3653</v>
      </c>
      <c r="G337" t="str">
        <f t="shared" si="5"/>
        <v>Pending</v>
      </c>
    </row>
    <row r="338" spans="1:7">
      <c r="A338" t="s">
        <v>1111</v>
      </c>
      <c r="B338" t="s">
        <v>3652</v>
      </c>
      <c r="C338" t="s">
        <v>3652</v>
      </c>
      <c r="D338" t="s">
        <v>3652</v>
      </c>
      <c r="E338" t="s">
        <v>3652</v>
      </c>
      <c r="F338" t="s">
        <v>3652</v>
      </c>
      <c r="G338" t="str">
        <f t="shared" si="5"/>
        <v>Completed</v>
      </c>
    </row>
    <row r="339" spans="1:7">
      <c r="A339" t="s">
        <v>1114</v>
      </c>
      <c r="B339" t="s">
        <v>3652</v>
      </c>
      <c r="C339" t="s">
        <v>3652</v>
      </c>
      <c r="D339" t="s">
        <v>3652</v>
      </c>
      <c r="E339" t="s">
        <v>3652</v>
      </c>
      <c r="F339" t="s">
        <v>3652</v>
      </c>
      <c r="G339" t="str">
        <f t="shared" si="5"/>
        <v>Completed</v>
      </c>
    </row>
    <row r="340" spans="1:7">
      <c r="A340" t="s">
        <v>1117</v>
      </c>
      <c r="B340" t="s">
        <v>3652</v>
      </c>
      <c r="C340" t="s">
        <v>3652</v>
      </c>
      <c r="D340" t="s">
        <v>3652</v>
      </c>
      <c r="E340" t="s">
        <v>3652</v>
      </c>
      <c r="F340" t="s">
        <v>3652</v>
      </c>
      <c r="G340" t="str">
        <f t="shared" si="5"/>
        <v>Completed</v>
      </c>
    </row>
    <row r="341" spans="1:7">
      <c r="A341" t="s">
        <v>1120</v>
      </c>
      <c r="B341" t="s">
        <v>3652</v>
      </c>
      <c r="C341" t="s">
        <v>3652</v>
      </c>
      <c r="D341" t="s">
        <v>3652</v>
      </c>
      <c r="E341" t="s">
        <v>3653</v>
      </c>
      <c r="F341" t="s">
        <v>3653</v>
      </c>
      <c r="G341" t="str">
        <f t="shared" si="5"/>
        <v>Pending</v>
      </c>
    </row>
    <row r="342" spans="1:7">
      <c r="A342" t="s">
        <v>1123</v>
      </c>
      <c r="B342" t="s">
        <v>3652</v>
      </c>
      <c r="C342" t="s">
        <v>3652</v>
      </c>
      <c r="D342" t="s">
        <v>3652</v>
      </c>
      <c r="E342" t="s">
        <v>3652</v>
      </c>
      <c r="F342" t="s">
        <v>3652</v>
      </c>
      <c r="G342" t="str">
        <f t="shared" si="5"/>
        <v>Completed</v>
      </c>
    </row>
    <row r="343" spans="1:7">
      <c r="A343" t="s">
        <v>1126</v>
      </c>
      <c r="B343" t="s">
        <v>3652</v>
      </c>
      <c r="C343" t="s">
        <v>3653</v>
      </c>
      <c r="D343" t="s">
        <v>3653</v>
      </c>
      <c r="E343" t="s">
        <v>3652</v>
      </c>
      <c r="F343" t="s">
        <v>3652</v>
      </c>
      <c r="G343" t="str">
        <f t="shared" si="5"/>
        <v>Pending</v>
      </c>
    </row>
    <row r="344" spans="1:7">
      <c r="A344" t="s">
        <v>1129</v>
      </c>
      <c r="B344" t="s">
        <v>3653</v>
      </c>
      <c r="C344" t="s">
        <v>3652</v>
      </c>
      <c r="D344" t="s">
        <v>3652</v>
      </c>
      <c r="E344" t="s">
        <v>3652</v>
      </c>
      <c r="F344" t="s">
        <v>3652</v>
      </c>
      <c r="G344" t="str">
        <f t="shared" si="5"/>
        <v>Pending</v>
      </c>
    </row>
    <row r="345" spans="1:7">
      <c r="A345" t="s">
        <v>1132</v>
      </c>
      <c r="B345" t="s">
        <v>3652</v>
      </c>
      <c r="C345" t="s">
        <v>3652</v>
      </c>
      <c r="D345" t="s">
        <v>3652</v>
      </c>
      <c r="E345" t="s">
        <v>3652</v>
      </c>
      <c r="F345" t="s">
        <v>3653</v>
      </c>
      <c r="G345" t="str">
        <f t="shared" si="5"/>
        <v>Pending</v>
      </c>
    </row>
    <row r="346" spans="1:7">
      <c r="A346" t="s">
        <v>1135</v>
      </c>
      <c r="B346" t="s">
        <v>3652</v>
      </c>
      <c r="C346" t="s">
        <v>3652</v>
      </c>
      <c r="D346" t="s">
        <v>3652</v>
      </c>
      <c r="E346" t="s">
        <v>3653</v>
      </c>
      <c r="F346" t="s">
        <v>3652</v>
      </c>
      <c r="G346" t="str">
        <f t="shared" si="5"/>
        <v>Pending</v>
      </c>
    </row>
    <row r="347" spans="1:7">
      <c r="A347" t="s">
        <v>1138</v>
      </c>
      <c r="B347" t="s">
        <v>3652</v>
      </c>
      <c r="C347" t="s">
        <v>3652</v>
      </c>
      <c r="D347" t="s">
        <v>3652</v>
      </c>
      <c r="E347" t="s">
        <v>3652</v>
      </c>
      <c r="F347" t="s">
        <v>3652</v>
      </c>
      <c r="G347" t="str">
        <f t="shared" si="5"/>
        <v>Completed</v>
      </c>
    </row>
    <row r="348" spans="1:7">
      <c r="A348" t="s">
        <v>1141</v>
      </c>
      <c r="B348" t="s">
        <v>3652</v>
      </c>
      <c r="C348" t="s">
        <v>3652</v>
      </c>
      <c r="D348" t="s">
        <v>3652</v>
      </c>
      <c r="E348" t="s">
        <v>3652</v>
      </c>
      <c r="F348" t="s">
        <v>3652</v>
      </c>
      <c r="G348" t="str">
        <f t="shared" si="5"/>
        <v>Completed</v>
      </c>
    </row>
    <row r="349" spans="1:7">
      <c r="A349" t="s">
        <v>1144</v>
      </c>
      <c r="B349" t="s">
        <v>3652</v>
      </c>
      <c r="C349" t="s">
        <v>3653</v>
      </c>
      <c r="D349" t="s">
        <v>3652</v>
      </c>
      <c r="E349" t="s">
        <v>3652</v>
      </c>
      <c r="F349" t="s">
        <v>3653</v>
      </c>
      <c r="G349" t="str">
        <f t="shared" si="5"/>
        <v>Pending</v>
      </c>
    </row>
    <row r="350" spans="1:7">
      <c r="A350" t="s">
        <v>1147</v>
      </c>
      <c r="B350" t="s">
        <v>3652</v>
      </c>
      <c r="C350" t="s">
        <v>3652</v>
      </c>
      <c r="D350" t="s">
        <v>3652</v>
      </c>
      <c r="E350" t="s">
        <v>3652</v>
      </c>
      <c r="F350" t="s">
        <v>3652</v>
      </c>
      <c r="G350" t="str">
        <f t="shared" si="5"/>
        <v>Completed</v>
      </c>
    </row>
    <row r="351" spans="1:7">
      <c r="A351" t="s">
        <v>1150</v>
      </c>
      <c r="B351" t="s">
        <v>3653</v>
      </c>
      <c r="C351" t="s">
        <v>3652</v>
      </c>
      <c r="D351" t="s">
        <v>3652</v>
      </c>
      <c r="E351" t="s">
        <v>3653</v>
      </c>
      <c r="F351" t="s">
        <v>3652</v>
      </c>
      <c r="G351" t="str">
        <f t="shared" si="5"/>
        <v>Pending</v>
      </c>
    </row>
    <row r="352" spans="1:7">
      <c r="A352" t="s">
        <v>1153</v>
      </c>
      <c r="B352" t="s">
        <v>3652</v>
      </c>
      <c r="C352" t="s">
        <v>3652</v>
      </c>
      <c r="D352" t="s">
        <v>3653</v>
      </c>
      <c r="E352" t="s">
        <v>3652</v>
      </c>
      <c r="F352" t="s">
        <v>3652</v>
      </c>
      <c r="G352" t="str">
        <f t="shared" si="5"/>
        <v>Pending</v>
      </c>
    </row>
    <row r="353" spans="1:7">
      <c r="A353" t="s">
        <v>1156</v>
      </c>
      <c r="B353" t="s">
        <v>3652</v>
      </c>
      <c r="C353" t="s">
        <v>3652</v>
      </c>
      <c r="D353" t="s">
        <v>3652</v>
      </c>
      <c r="E353" t="s">
        <v>3652</v>
      </c>
      <c r="F353" t="s">
        <v>3653</v>
      </c>
      <c r="G353" t="str">
        <f t="shared" si="5"/>
        <v>Pending</v>
      </c>
    </row>
    <row r="354" spans="1:7">
      <c r="A354" t="s">
        <v>1159</v>
      </c>
      <c r="B354" t="s">
        <v>3652</v>
      </c>
      <c r="C354" t="s">
        <v>3652</v>
      </c>
      <c r="D354" t="s">
        <v>3652</v>
      </c>
      <c r="E354" t="s">
        <v>3652</v>
      </c>
      <c r="F354" t="s">
        <v>3652</v>
      </c>
      <c r="G354" t="str">
        <f t="shared" si="5"/>
        <v>Completed</v>
      </c>
    </row>
    <row r="355" spans="1:7">
      <c r="A355" t="s">
        <v>1162</v>
      </c>
      <c r="B355" t="s">
        <v>3652</v>
      </c>
      <c r="C355" t="s">
        <v>3653</v>
      </c>
      <c r="D355" t="s">
        <v>3652</v>
      </c>
      <c r="E355" t="s">
        <v>3652</v>
      </c>
      <c r="F355" t="s">
        <v>3652</v>
      </c>
      <c r="G355" t="str">
        <f t="shared" si="5"/>
        <v>Pending</v>
      </c>
    </row>
    <row r="356" spans="1:7">
      <c r="A356" t="s">
        <v>1165</v>
      </c>
      <c r="B356" t="s">
        <v>3652</v>
      </c>
      <c r="C356" t="s">
        <v>3652</v>
      </c>
      <c r="D356" t="s">
        <v>3652</v>
      </c>
      <c r="E356" t="s">
        <v>3653</v>
      </c>
      <c r="F356" t="s">
        <v>3652</v>
      </c>
      <c r="G356" t="str">
        <f t="shared" si="5"/>
        <v>Pending</v>
      </c>
    </row>
    <row r="357" spans="1:7">
      <c r="A357" t="s">
        <v>1168</v>
      </c>
      <c r="B357" t="s">
        <v>3652</v>
      </c>
      <c r="C357" t="s">
        <v>3652</v>
      </c>
      <c r="D357" t="s">
        <v>3652</v>
      </c>
      <c r="E357" t="s">
        <v>3652</v>
      </c>
      <c r="F357" t="s">
        <v>3653</v>
      </c>
      <c r="G357" t="str">
        <f t="shared" si="5"/>
        <v>Pending</v>
      </c>
    </row>
    <row r="358" spans="1:7">
      <c r="A358" t="s">
        <v>1171</v>
      </c>
      <c r="B358" t="s">
        <v>3653</v>
      </c>
      <c r="C358" t="s">
        <v>3652</v>
      </c>
      <c r="D358" t="s">
        <v>3652</v>
      </c>
      <c r="E358" t="s">
        <v>3652</v>
      </c>
      <c r="F358" t="s">
        <v>3652</v>
      </c>
      <c r="G358" t="str">
        <f t="shared" si="5"/>
        <v>Pending</v>
      </c>
    </row>
    <row r="359" spans="1:7">
      <c r="A359" t="s">
        <v>1174</v>
      </c>
      <c r="B359" t="s">
        <v>3652</v>
      </c>
      <c r="C359" t="s">
        <v>3652</v>
      </c>
      <c r="D359" t="s">
        <v>3652</v>
      </c>
      <c r="E359" t="s">
        <v>3652</v>
      </c>
      <c r="F359" t="s">
        <v>3652</v>
      </c>
      <c r="G359" t="str">
        <f t="shared" si="5"/>
        <v>Completed</v>
      </c>
    </row>
    <row r="360" spans="1:7">
      <c r="A360" t="s">
        <v>1177</v>
      </c>
      <c r="B360" t="s">
        <v>3652</v>
      </c>
      <c r="C360" t="s">
        <v>3652</v>
      </c>
      <c r="D360" t="s">
        <v>3652</v>
      </c>
      <c r="E360" t="s">
        <v>3652</v>
      </c>
      <c r="F360" t="s">
        <v>3652</v>
      </c>
      <c r="G360" t="str">
        <f t="shared" si="5"/>
        <v>Completed</v>
      </c>
    </row>
    <row r="361" spans="1:7">
      <c r="A361" t="s">
        <v>1180</v>
      </c>
      <c r="B361" t="s">
        <v>3652</v>
      </c>
      <c r="C361" t="s">
        <v>3653</v>
      </c>
      <c r="D361" t="s">
        <v>3653</v>
      </c>
      <c r="E361" t="s">
        <v>3653</v>
      </c>
      <c r="F361" t="s">
        <v>3653</v>
      </c>
      <c r="G361" t="str">
        <f t="shared" si="5"/>
        <v>Pending</v>
      </c>
    </row>
    <row r="362" spans="1:7">
      <c r="A362" t="s">
        <v>1183</v>
      </c>
      <c r="B362" t="s">
        <v>3652</v>
      </c>
      <c r="C362" t="s">
        <v>3652</v>
      </c>
      <c r="D362" t="s">
        <v>3652</v>
      </c>
      <c r="E362" t="s">
        <v>3652</v>
      </c>
      <c r="F362" t="s">
        <v>3652</v>
      </c>
      <c r="G362" t="str">
        <f t="shared" si="5"/>
        <v>Completed</v>
      </c>
    </row>
    <row r="363" spans="1:7">
      <c r="A363" t="s">
        <v>1186</v>
      </c>
      <c r="B363" t="s">
        <v>3652</v>
      </c>
      <c r="C363" t="s">
        <v>3652</v>
      </c>
      <c r="D363" t="s">
        <v>3652</v>
      </c>
      <c r="E363" t="s">
        <v>3652</v>
      </c>
      <c r="F363" t="s">
        <v>3652</v>
      </c>
      <c r="G363" t="str">
        <f t="shared" si="5"/>
        <v>Completed</v>
      </c>
    </row>
    <row r="364" spans="1:7">
      <c r="A364" t="s">
        <v>1189</v>
      </c>
      <c r="B364" t="s">
        <v>3652</v>
      </c>
      <c r="C364" t="s">
        <v>3652</v>
      </c>
      <c r="D364" t="s">
        <v>3652</v>
      </c>
      <c r="E364" t="s">
        <v>3652</v>
      </c>
      <c r="F364" t="s">
        <v>3652</v>
      </c>
      <c r="G364" t="str">
        <f t="shared" si="5"/>
        <v>Completed</v>
      </c>
    </row>
    <row r="365" spans="1:7">
      <c r="A365" t="s">
        <v>1192</v>
      </c>
      <c r="B365" t="s">
        <v>3653</v>
      </c>
      <c r="C365" t="s">
        <v>3652</v>
      </c>
      <c r="D365" t="s">
        <v>3652</v>
      </c>
      <c r="E365" t="s">
        <v>3652</v>
      </c>
      <c r="F365" t="s">
        <v>3653</v>
      </c>
      <c r="G365" t="str">
        <f t="shared" si="5"/>
        <v>Pending</v>
      </c>
    </row>
    <row r="366" spans="1:7">
      <c r="A366" t="s">
        <v>1195</v>
      </c>
      <c r="B366" t="s">
        <v>3652</v>
      </c>
      <c r="C366" t="s">
        <v>3652</v>
      </c>
      <c r="D366" t="s">
        <v>3652</v>
      </c>
      <c r="E366" t="s">
        <v>3653</v>
      </c>
      <c r="F366" t="s">
        <v>3652</v>
      </c>
      <c r="G366" t="str">
        <f t="shared" si="5"/>
        <v>Pending</v>
      </c>
    </row>
    <row r="367" spans="1:7">
      <c r="A367" t="s">
        <v>1198</v>
      </c>
      <c r="B367" t="s">
        <v>3652</v>
      </c>
      <c r="C367" t="s">
        <v>3653</v>
      </c>
      <c r="D367" t="s">
        <v>3652</v>
      </c>
      <c r="E367" t="s">
        <v>3652</v>
      </c>
      <c r="F367" t="s">
        <v>3652</v>
      </c>
      <c r="G367" t="str">
        <f t="shared" si="5"/>
        <v>Pending</v>
      </c>
    </row>
    <row r="368" spans="1:7">
      <c r="A368" t="s">
        <v>1201</v>
      </c>
      <c r="B368" t="s">
        <v>3652</v>
      </c>
      <c r="C368" t="s">
        <v>3652</v>
      </c>
      <c r="D368" t="s">
        <v>3652</v>
      </c>
      <c r="E368" t="s">
        <v>3652</v>
      </c>
      <c r="F368" t="s">
        <v>3652</v>
      </c>
      <c r="G368" t="str">
        <f t="shared" si="5"/>
        <v>Completed</v>
      </c>
    </row>
    <row r="369" spans="1:7">
      <c r="A369" t="s">
        <v>1204</v>
      </c>
      <c r="B369" t="s">
        <v>3652</v>
      </c>
      <c r="C369" t="s">
        <v>3652</v>
      </c>
      <c r="D369" t="s">
        <v>3652</v>
      </c>
      <c r="E369" t="s">
        <v>3652</v>
      </c>
      <c r="F369" t="s">
        <v>3653</v>
      </c>
      <c r="G369" t="str">
        <f t="shared" si="5"/>
        <v>Pending</v>
      </c>
    </row>
    <row r="370" spans="1:7">
      <c r="A370" t="s">
        <v>1207</v>
      </c>
      <c r="B370" t="s">
        <v>3652</v>
      </c>
      <c r="C370" t="s">
        <v>3652</v>
      </c>
      <c r="D370" t="s">
        <v>3653</v>
      </c>
      <c r="E370" t="s">
        <v>3652</v>
      </c>
      <c r="F370" t="s">
        <v>3652</v>
      </c>
      <c r="G370" t="str">
        <f t="shared" si="5"/>
        <v>Pending</v>
      </c>
    </row>
    <row r="371" spans="1:7">
      <c r="A371" t="s">
        <v>1210</v>
      </c>
      <c r="B371" t="s">
        <v>3652</v>
      </c>
      <c r="C371" t="s">
        <v>3652</v>
      </c>
      <c r="D371" t="s">
        <v>3652</v>
      </c>
      <c r="E371" t="s">
        <v>3653</v>
      </c>
      <c r="F371" t="s">
        <v>3652</v>
      </c>
      <c r="G371" t="str">
        <f t="shared" si="5"/>
        <v>Pending</v>
      </c>
    </row>
    <row r="372" spans="1:7">
      <c r="A372" t="s">
        <v>1213</v>
      </c>
      <c r="B372" t="s">
        <v>3653</v>
      </c>
      <c r="C372" t="s">
        <v>3652</v>
      </c>
      <c r="D372" t="s">
        <v>3652</v>
      </c>
      <c r="E372" t="s">
        <v>3652</v>
      </c>
      <c r="F372" t="s">
        <v>3652</v>
      </c>
      <c r="G372" t="str">
        <f t="shared" si="5"/>
        <v>Pending</v>
      </c>
    </row>
    <row r="373" spans="1:7">
      <c r="A373" t="s">
        <v>1216</v>
      </c>
      <c r="B373" t="s">
        <v>3652</v>
      </c>
      <c r="C373" t="s">
        <v>3653</v>
      </c>
      <c r="D373" t="s">
        <v>3652</v>
      </c>
      <c r="E373" t="s">
        <v>3652</v>
      </c>
      <c r="F373" t="s">
        <v>3653</v>
      </c>
      <c r="G373" t="str">
        <f t="shared" si="5"/>
        <v>Pending</v>
      </c>
    </row>
    <row r="374" spans="1:7">
      <c r="A374" t="s">
        <v>1219</v>
      </c>
      <c r="B374" t="s">
        <v>3652</v>
      </c>
      <c r="C374" t="s">
        <v>3652</v>
      </c>
      <c r="D374" t="s">
        <v>3652</v>
      </c>
      <c r="E374" t="s">
        <v>3652</v>
      </c>
      <c r="F374" t="s">
        <v>3652</v>
      </c>
      <c r="G374" t="str">
        <f t="shared" si="5"/>
        <v>Completed</v>
      </c>
    </row>
    <row r="375" spans="1:7">
      <c r="A375" t="s">
        <v>1222</v>
      </c>
      <c r="B375" t="s">
        <v>3652</v>
      </c>
      <c r="C375" t="s">
        <v>3652</v>
      </c>
      <c r="D375" t="s">
        <v>3652</v>
      </c>
      <c r="E375" t="s">
        <v>3652</v>
      </c>
      <c r="F375" t="s">
        <v>3652</v>
      </c>
      <c r="G375" t="str">
        <f t="shared" si="5"/>
        <v>Completed</v>
      </c>
    </row>
    <row r="376" spans="1:7">
      <c r="A376" t="s">
        <v>1225</v>
      </c>
      <c r="B376" t="s">
        <v>3652</v>
      </c>
      <c r="C376" t="s">
        <v>3652</v>
      </c>
      <c r="D376" t="s">
        <v>3652</v>
      </c>
      <c r="E376" t="s">
        <v>3653</v>
      </c>
      <c r="F376" t="s">
        <v>3652</v>
      </c>
      <c r="G376" t="str">
        <f t="shared" si="5"/>
        <v>Pending</v>
      </c>
    </row>
    <row r="377" spans="1:7">
      <c r="A377" t="s">
        <v>1228</v>
      </c>
      <c r="B377" t="s">
        <v>3652</v>
      </c>
      <c r="C377" t="s">
        <v>3652</v>
      </c>
      <c r="D377" t="s">
        <v>3652</v>
      </c>
      <c r="E377" t="s">
        <v>3652</v>
      </c>
      <c r="F377" t="s">
        <v>3653</v>
      </c>
      <c r="G377" t="str">
        <f t="shared" si="5"/>
        <v>Pending</v>
      </c>
    </row>
    <row r="378" spans="1:7">
      <c r="A378" t="s">
        <v>1231</v>
      </c>
      <c r="B378" t="s">
        <v>3652</v>
      </c>
      <c r="C378" t="s">
        <v>3652</v>
      </c>
      <c r="D378" t="s">
        <v>3652</v>
      </c>
      <c r="E378" t="s">
        <v>3652</v>
      </c>
      <c r="F378" t="s">
        <v>3652</v>
      </c>
      <c r="G378" t="str">
        <f t="shared" si="5"/>
        <v>Completed</v>
      </c>
    </row>
    <row r="379" spans="1:7">
      <c r="A379" t="s">
        <v>1234</v>
      </c>
      <c r="B379" t="s">
        <v>3653</v>
      </c>
      <c r="C379" t="s">
        <v>3653</v>
      </c>
      <c r="D379" t="s">
        <v>3653</v>
      </c>
      <c r="E379" t="s">
        <v>3652</v>
      </c>
      <c r="F379" t="s">
        <v>3652</v>
      </c>
      <c r="G379" t="str">
        <f t="shared" si="5"/>
        <v>Pending</v>
      </c>
    </row>
    <row r="380" spans="1:7">
      <c r="A380" t="s">
        <v>1237</v>
      </c>
      <c r="B380" t="s">
        <v>3652</v>
      </c>
      <c r="C380" t="s">
        <v>3652</v>
      </c>
      <c r="D380" t="s">
        <v>3652</v>
      </c>
      <c r="E380" t="s">
        <v>3652</v>
      </c>
      <c r="F380" t="s">
        <v>3652</v>
      </c>
      <c r="G380" t="str">
        <f t="shared" si="5"/>
        <v>Completed</v>
      </c>
    </row>
    <row r="381" spans="1:7">
      <c r="A381" t="s">
        <v>1240</v>
      </c>
      <c r="B381" t="s">
        <v>3652</v>
      </c>
      <c r="C381" t="s">
        <v>3652</v>
      </c>
      <c r="D381" t="s">
        <v>3652</v>
      </c>
      <c r="E381" t="s">
        <v>3653</v>
      </c>
      <c r="F381" t="s">
        <v>3653</v>
      </c>
      <c r="G381" t="str">
        <f t="shared" si="5"/>
        <v>Pending</v>
      </c>
    </row>
    <row r="382" spans="1:7">
      <c r="A382" t="s">
        <v>1243</v>
      </c>
      <c r="B382" t="s">
        <v>3652</v>
      </c>
      <c r="C382" t="s">
        <v>3652</v>
      </c>
      <c r="D382" t="s">
        <v>3652</v>
      </c>
      <c r="E382" t="s">
        <v>3652</v>
      </c>
      <c r="F382" t="s">
        <v>3652</v>
      </c>
      <c r="G382" t="str">
        <f t="shared" si="5"/>
        <v>Completed</v>
      </c>
    </row>
    <row r="383" spans="1:7">
      <c r="A383" t="s">
        <v>1246</v>
      </c>
      <c r="B383" t="s">
        <v>3652</v>
      </c>
      <c r="C383" t="s">
        <v>3652</v>
      </c>
      <c r="D383" t="s">
        <v>3652</v>
      </c>
      <c r="E383" t="s">
        <v>3652</v>
      </c>
      <c r="F383" t="s">
        <v>3652</v>
      </c>
      <c r="G383" t="str">
        <f t="shared" si="5"/>
        <v>Completed</v>
      </c>
    </row>
    <row r="384" spans="1:7">
      <c r="A384" t="s">
        <v>1249</v>
      </c>
      <c r="B384" t="s">
        <v>3652</v>
      </c>
      <c r="C384" t="s">
        <v>3652</v>
      </c>
      <c r="D384" t="s">
        <v>3652</v>
      </c>
      <c r="E384" t="s">
        <v>3652</v>
      </c>
      <c r="F384" t="s">
        <v>3652</v>
      </c>
      <c r="G384" t="str">
        <f t="shared" si="5"/>
        <v>Completed</v>
      </c>
    </row>
    <row r="385" spans="1:7">
      <c r="A385" t="s">
        <v>1252</v>
      </c>
      <c r="B385" t="s">
        <v>3652</v>
      </c>
      <c r="C385" t="s">
        <v>3653</v>
      </c>
      <c r="D385" t="s">
        <v>3652</v>
      </c>
      <c r="E385" t="s">
        <v>3652</v>
      </c>
      <c r="F385" t="s">
        <v>3653</v>
      </c>
      <c r="G385" t="str">
        <f t="shared" si="5"/>
        <v>Pending</v>
      </c>
    </row>
    <row r="386" spans="1:7">
      <c r="A386" t="s">
        <v>1255</v>
      </c>
      <c r="B386" t="s">
        <v>3653</v>
      </c>
      <c r="C386" t="s">
        <v>3652</v>
      </c>
      <c r="D386" t="s">
        <v>3652</v>
      </c>
      <c r="E386" t="s">
        <v>3653</v>
      </c>
      <c r="F386" t="s">
        <v>3652</v>
      </c>
      <c r="G386" t="str">
        <f t="shared" ref="G386:G449" si="6">IF(AND(B386="Yes",C386="Yes",D386="Yes",E386="Yes",F386="Yes"),"Completed","Pending")</f>
        <v>Pending</v>
      </c>
    </row>
    <row r="387" spans="1:7">
      <c r="A387" t="s">
        <v>1258</v>
      </c>
      <c r="B387" t="s">
        <v>3652</v>
      </c>
      <c r="C387" t="s">
        <v>3652</v>
      </c>
      <c r="D387" t="s">
        <v>3652</v>
      </c>
      <c r="E387" t="s">
        <v>3652</v>
      </c>
      <c r="F387" t="s">
        <v>3652</v>
      </c>
      <c r="G387" t="str">
        <f t="shared" si="6"/>
        <v>Completed</v>
      </c>
    </row>
    <row r="388" spans="1:7">
      <c r="A388" t="s">
        <v>1261</v>
      </c>
      <c r="B388" t="s">
        <v>3652</v>
      </c>
      <c r="C388" t="s">
        <v>3652</v>
      </c>
      <c r="D388" t="s">
        <v>3653</v>
      </c>
      <c r="E388" t="s">
        <v>3652</v>
      </c>
      <c r="F388" t="s">
        <v>3652</v>
      </c>
      <c r="G388" t="str">
        <f t="shared" si="6"/>
        <v>Pending</v>
      </c>
    </row>
    <row r="389" spans="1:7">
      <c r="A389" t="s">
        <v>1264</v>
      </c>
      <c r="B389" t="s">
        <v>3652</v>
      </c>
      <c r="C389" t="s">
        <v>3652</v>
      </c>
      <c r="D389" t="s">
        <v>3652</v>
      </c>
      <c r="E389" t="s">
        <v>3652</v>
      </c>
      <c r="F389" t="s">
        <v>3653</v>
      </c>
      <c r="G389" t="str">
        <f t="shared" si="6"/>
        <v>Pending</v>
      </c>
    </row>
    <row r="390" spans="1:7">
      <c r="A390" t="s">
        <v>1267</v>
      </c>
      <c r="B390" t="s">
        <v>3652</v>
      </c>
      <c r="C390" t="s">
        <v>3652</v>
      </c>
      <c r="D390" t="s">
        <v>3652</v>
      </c>
      <c r="E390" t="s">
        <v>3652</v>
      </c>
      <c r="F390" t="s">
        <v>3652</v>
      </c>
      <c r="G390" t="str">
        <f t="shared" si="6"/>
        <v>Completed</v>
      </c>
    </row>
    <row r="391" spans="1:7">
      <c r="A391" t="s">
        <v>1270</v>
      </c>
      <c r="B391" t="s">
        <v>3652</v>
      </c>
      <c r="C391" t="s">
        <v>3653</v>
      </c>
      <c r="D391" t="s">
        <v>3652</v>
      </c>
      <c r="E391" t="s">
        <v>3653</v>
      </c>
      <c r="F391" t="s">
        <v>3652</v>
      </c>
      <c r="G391" t="str">
        <f t="shared" si="6"/>
        <v>Pending</v>
      </c>
    </row>
    <row r="392" spans="1:7">
      <c r="A392" t="s">
        <v>1273</v>
      </c>
      <c r="B392" t="s">
        <v>3652</v>
      </c>
      <c r="C392" t="s">
        <v>3652</v>
      </c>
      <c r="D392" t="s">
        <v>3652</v>
      </c>
      <c r="E392" t="s">
        <v>3652</v>
      </c>
      <c r="F392" t="s">
        <v>3652</v>
      </c>
      <c r="G392" t="str">
        <f t="shared" si="6"/>
        <v>Completed</v>
      </c>
    </row>
    <row r="393" spans="1:7">
      <c r="A393" t="s">
        <v>1276</v>
      </c>
      <c r="B393" t="s">
        <v>3653</v>
      </c>
      <c r="C393" t="s">
        <v>3652</v>
      </c>
      <c r="D393" t="s">
        <v>3652</v>
      </c>
      <c r="E393" t="s">
        <v>3652</v>
      </c>
      <c r="F393" t="s">
        <v>3653</v>
      </c>
      <c r="G393" t="str">
        <f t="shared" si="6"/>
        <v>Pending</v>
      </c>
    </row>
    <row r="394" spans="1:7">
      <c r="A394" t="s">
        <v>1279</v>
      </c>
      <c r="B394" t="s">
        <v>3652</v>
      </c>
      <c r="C394" t="s">
        <v>3652</v>
      </c>
      <c r="D394" t="s">
        <v>3652</v>
      </c>
      <c r="E394" t="s">
        <v>3652</v>
      </c>
      <c r="F394" t="s">
        <v>3652</v>
      </c>
      <c r="G394" t="str">
        <f t="shared" si="6"/>
        <v>Completed</v>
      </c>
    </row>
    <row r="395" spans="1:7">
      <c r="A395" t="s">
        <v>1282</v>
      </c>
      <c r="B395" t="s">
        <v>3652</v>
      </c>
      <c r="C395" t="s">
        <v>3652</v>
      </c>
      <c r="D395" t="s">
        <v>3652</v>
      </c>
      <c r="E395" t="s">
        <v>3652</v>
      </c>
      <c r="F395" t="s">
        <v>3652</v>
      </c>
      <c r="G395" t="str">
        <f t="shared" si="6"/>
        <v>Completed</v>
      </c>
    </row>
    <row r="396" spans="1:7">
      <c r="A396" t="s">
        <v>1285</v>
      </c>
      <c r="B396" t="s">
        <v>3652</v>
      </c>
      <c r="C396" t="s">
        <v>3652</v>
      </c>
      <c r="D396" t="s">
        <v>3652</v>
      </c>
      <c r="E396" t="s">
        <v>3653</v>
      </c>
      <c r="F396" t="s">
        <v>3652</v>
      </c>
      <c r="G396" t="str">
        <f t="shared" si="6"/>
        <v>Pending</v>
      </c>
    </row>
    <row r="397" spans="1:7">
      <c r="A397" t="s">
        <v>1288</v>
      </c>
      <c r="B397" t="s">
        <v>3652</v>
      </c>
      <c r="C397" t="s">
        <v>3653</v>
      </c>
      <c r="D397" t="s">
        <v>3653</v>
      </c>
      <c r="E397" t="s">
        <v>3652</v>
      </c>
      <c r="F397" t="s">
        <v>3653</v>
      </c>
      <c r="G397" t="str">
        <f t="shared" si="6"/>
        <v>Pending</v>
      </c>
    </row>
    <row r="398" spans="1:7">
      <c r="A398" t="s">
        <v>1291</v>
      </c>
      <c r="B398" t="s">
        <v>3652</v>
      </c>
      <c r="C398" t="s">
        <v>3652</v>
      </c>
      <c r="D398" t="s">
        <v>3652</v>
      </c>
      <c r="E398" t="s">
        <v>3652</v>
      </c>
      <c r="F398" t="s">
        <v>3652</v>
      </c>
      <c r="G398" t="str">
        <f t="shared" si="6"/>
        <v>Completed</v>
      </c>
    </row>
    <row r="399" spans="1:7">
      <c r="A399" t="s">
        <v>1294</v>
      </c>
      <c r="B399" t="s">
        <v>3652</v>
      </c>
      <c r="C399" t="s">
        <v>3652</v>
      </c>
      <c r="D399" t="s">
        <v>3652</v>
      </c>
      <c r="E399" t="s">
        <v>3652</v>
      </c>
      <c r="F399" t="s">
        <v>3652</v>
      </c>
      <c r="G399" t="str">
        <f t="shared" si="6"/>
        <v>Completed</v>
      </c>
    </row>
    <row r="400" spans="1:7">
      <c r="A400" t="s">
        <v>1297</v>
      </c>
      <c r="B400" t="s">
        <v>3653</v>
      </c>
      <c r="C400" t="s">
        <v>3652</v>
      </c>
      <c r="D400" t="s">
        <v>3652</v>
      </c>
      <c r="E400" t="s">
        <v>3652</v>
      </c>
      <c r="F400" t="s">
        <v>3652</v>
      </c>
      <c r="G400" t="str">
        <f t="shared" si="6"/>
        <v>Pending</v>
      </c>
    </row>
    <row r="401" spans="1:7">
      <c r="A401" t="s">
        <v>1300</v>
      </c>
      <c r="B401" t="s">
        <v>3652</v>
      </c>
      <c r="C401" t="s">
        <v>3652</v>
      </c>
      <c r="D401" t="s">
        <v>3652</v>
      </c>
      <c r="E401" t="s">
        <v>3653</v>
      </c>
      <c r="F401" t="s">
        <v>3653</v>
      </c>
      <c r="G401" t="str">
        <f t="shared" si="6"/>
        <v>Pending</v>
      </c>
    </row>
    <row r="402" spans="1:7">
      <c r="A402" t="s">
        <v>1303</v>
      </c>
      <c r="B402" t="s">
        <v>3652</v>
      </c>
      <c r="C402" t="s">
        <v>3652</v>
      </c>
      <c r="D402" t="s">
        <v>3652</v>
      </c>
      <c r="E402" t="s">
        <v>3652</v>
      </c>
      <c r="F402" t="s">
        <v>3652</v>
      </c>
      <c r="G402" t="str">
        <f t="shared" si="6"/>
        <v>Completed</v>
      </c>
    </row>
    <row r="403" spans="1:7">
      <c r="A403" t="s">
        <v>1306</v>
      </c>
      <c r="B403" t="s">
        <v>3652</v>
      </c>
      <c r="C403" t="s">
        <v>3653</v>
      </c>
      <c r="D403" t="s">
        <v>3652</v>
      </c>
      <c r="E403" t="s">
        <v>3652</v>
      </c>
      <c r="F403" t="s">
        <v>3652</v>
      </c>
      <c r="G403" t="str">
        <f t="shared" si="6"/>
        <v>Pending</v>
      </c>
    </row>
    <row r="404" spans="1:7">
      <c r="A404" t="s">
        <v>1309</v>
      </c>
      <c r="B404" t="s">
        <v>3652</v>
      </c>
      <c r="C404" t="s">
        <v>3652</v>
      </c>
      <c r="D404" t="s">
        <v>3652</v>
      </c>
      <c r="E404" t="s">
        <v>3652</v>
      </c>
      <c r="F404" t="s">
        <v>3652</v>
      </c>
      <c r="G404" t="str">
        <f t="shared" si="6"/>
        <v>Completed</v>
      </c>
    </row>
    <row r="405" spans="1:7">
      <c r="A405" t="s">
        <v>1312</v>
      </c>
      <c r="B405" t="s">
        <v>3652</v>
      </c>
      <c r="C405" t="s">
        <v>3652</v>
      </c>
      <c r="D405" t="s">
        <v>3652</v>
      </c>
      <c r="E405" t="s">
        <v>3652</v>
      </c>
      <c r="F405" t="s">
        <v>3653</v>
      </c>
      <c r="G405" t="str">
        <f t="shared" si="6"/>
        <v>Pending</v>
      </c>
    </row>
    <row r="406" spans="1:7">
      <c r="A406" t="s">
        <v>1315</v>
      </c>
      <c r="B406" t="s">
        <v>3652</v>
      </c>
      <c r="C406" t="s">
        <v>3652</v>
      </c>
      <c r="D406" t="s">
        <v>3653</v>
      </c>
      <c r="E406" t="s">
        <v>3653</v>
      </c>
      <c r="F406" t="s">
        <v>3652</v>
      </c>
      <c r="G406" t="str">
        <f t="shared" si="6"/>
        <v>Pending</v>
      </c>
    </row>
    <row r="407" spans="1:7">
      <c r="A407" t="s">
        <v>1318</v>
      </c>
      <c r="B407" t="s">
        <v>3653</v>
      </c>
      <c r="C407" t="s">
        <v>3652</v>
      </c>
      <c r="D407" t="s">
        <v>3652</v>
      </c>
      <c r="E407" t="s">
        <v>3652</v>
      </c>
      <c r="F407" t="s">
        <v>3652</v>
      </c>
      <c r="G407" t="str">
        <f t="shared" si="6"/>
        <v>Pending</v>
      </c>
    </row>
    <row r="408" spans="1:7">
      <c r="A408" t="s">
        <v>1321</v>
      </c>
      <c r="B408" t="s">
        <v>3652</v>
      </c>
      <c r="C408" t="s">
        <v>3652</v>
      </c>
      <c r="D408" t="s">
        <v>3652</v>
      </c>
      <c r="E408" t="s">
        <v>3652</v>
      </c>
      <c r="F408" t="s">
        <v>3652</v>
      </c>
      <c r="G408" t="str">
        <f t="shared" si="6"/>
        <v>Completed</v>
      </c>
    </row>
    <row r="409" spans="1:7">
      <c r="A409" t="s">
        <v>1324</v>
      </c>
      <c r="B409" t="s">
        <v>3652</v>
      </c>
      <c r="C409" t="s">
        <v>3653</v>
      </c>
      <c r="D409" t="s">
        <v>3652</v>
      </c>
      <c r="E409" t="s">
        <v>3652</v>
      </c>
      <c r="F409" t="s">
        <v>3653</v>
      </c>
      <c r="G409" t="str">
        <f t="shared" si="6"/>
        <v>Pending</v>
      </c>
    </row>
    <row r="410" spans="1:7">
      <c r="A410" t="s">
        <v>1327</v>
      </c>
      <c r="B410" t="s">
        <v>3652</v>
      </c>
      <c r="C410" t="s">
        <v>3652</v>
      </c>
      <c r="D410" t="s">
        <v>3652</v>
      </c>
      <c r="E410" t="s">
        <v>3652</v>
      </c>
      <c r="F410" t="s">
        <v>3652</v>
      </c>
      <c r="G410" t="str">
        <f t="shared" si="6"/>
        <v>Completed</v>
      </c>
    </row>
    <row r="411" spans="1:7">
      <c r="A411" t="s">
        <v>1330</v>
      </c>
      <c r="B411" t="s">
        <v>3652</v>
      </c>
      <c r="C411" t="s">
        <v>3652</v>
      </c>
      <c r="D411" t="s">
        <v>3652</v>
      </c>
      <c r="E411" t="s">
        <v>3653</v>
      </c>
      <c r="F411" t="s">
        <v>3652</v>
      </c>
      <c r="G411" t="str">
        <f t="shared" si="6"/>
        <v>Pending</v>
      </c>
    </row>
    <row r="412" spans="1:7">
      <c r="A412" t="s">
        <v>1333</v>
      </c>
      <c r="B412" t="s">
        <v>3652</v>
      </c>
      <c r="C412" t="s">
        <v>3652</v>
      </c>
      <c r="D412" t="s">
        <v>3652</v>
      </c>
      <c r="E412" t="s">
        <v>3652</v>
      </c>
      <c r="F412" t="s">
        <v>3652</v>
      </c>
      <c r="G412" t="str">
        <f t="shared" si="6"/>
        <v>Completed</v>
      </c>
    </row>
    <row r="413" spans="1:7">
      <c r="A413" t="s">
        <v>1336</v>
      </c>
      <c r="B413" t="s">
        <v>3652</v>
      </c>
      <c r="C413" t="s">
        <v>3652</v>
      </c>
      <c r="D413" t="s">
        <v>3652</v>
      </c>
      <c r="E413" t="s">
        <v>3652</v>
      </c>
      <c r="F413" t="s">
        <v>3653</v>
      </c>
      <c r="G413" t="str">
        <f t="shared" si="6"/>
        <v>Pending</v>
      </c>
    </row>
    <row r="414" spans="1:7">
      <c r="A414" t="s">
        <v>1339</v>
      </c>
      <c r="B414" t="s">
        <v>3653</v>
      </c>
      <c r="C414" t="s">
        <v>3652</v>
      </c>
      <c r="D414" t="s">
        <v>3652</v>
      </c>
      <c r="E414" t="s">
        <v>3652</v>
      </c>
      <c r="F414" t="s">
        <v>3652</v>
      </c>
      <c r="G414" t="str">
        <f t="shared" si="6"/>
        <v>Pending</v>
      </c>
    </row>
    <row r="415" spans="1:7">
      <c r="A415" t="s">
        <v>1342</v>
      </c>
      <c r="B415" t="s">
        <v>3652</v>
      </c>
      <c r="C415" t="s">
        <v>3653</v>
      </c>
      <c r="D415" t="s">
        <v>3653</v>
      </c>
      <c r="E415" t="s">
        <v>3652</v>
      </c>
      <c r="F415" t="s">
        <v>3652</v>
      </c>
      <c r="G415" t="str">
        <f t="shared" si="6"/>
        <v>Pending</v>
      </c>
    </row>
    <row r="416" spans="1:7">
      <c r="A416" t="s">
        <v>1345</v>
      </c>
      <c r="B416" t="s">
        <v>3652</v>
      </c>
      <c r="C416" t="s">
        <v>3652</v>
      </c>
      <c r="D416" t="s">
        <v>3652</v>
      </c>
      <c r="E416" t="s">
        <v>3653</v>
      </c>
      <c r="F416" t="s">
        <v>3652</v>
      </c>
      <c r="G416" t="str">
        <f t="shared" si="6"/>
        <v>Pending</v>
      </c>
    </row>
    <row r="417" spans="1:7">
      <c r="A417" t="s">
        <v>1348</v>
      </c>
      <c r="B417" t="s">
        <v>3652</v>
      </c>
      <c r="C417" t="s">
        <v>3652</v>
      </c>
      <c r="D417" t="s">
        <v>3652</v>
      </c>
      <c r="E417" t="s">
        <v>3652</v>
      </c>
      <c r="F417" t="s">
        <v>3653</v>
      </c>
      <c r="G417" t="str">
        <f t="shared" si="6"/>
        <v>Pending</v>
      </c>
    </row>
    <row r="418" spans="1:7">
      <c r="A418" t="s">
        <v>1351</v>
      </c>
      <c r="B418" t="s">
        <v>3652</v>
      </c>
      <c r="C418" t="s">
        <v>3652</v>
      </c>
      <c r="D418" t="s">
        <v>3652</v>
      </c>
      <c r="E418" t="s">
        <v>3652</v>
      </c>
      <c r="F418" t="s">
        <v>3652</v>
      </c>
      <c r="G418" t="str">
        <f t="shared" si="6"/>
        <v>Completed</v>
      </c>
    </row>
    <row r="419" spans="1:7">
      <c r="A419" t="s">
        <v>1354</v>
      </c>
      <c r="B419" t="s">
        <v>3652</v>
      </c>
      <c r="C419" t="s">
        <v>3652</v>
      </c>
      <c r="D419" t="s">
        <v>3652</v>
      </c>
      <c r="E419" t="s">
        <v>3652</v>
      </c>
      <c r="F419" t="s">
        <v>3652</v>
      </c>
      <c r="G419" t="str">
        <f t="shared" si="6"/>
        <v>Completed</v>
      </c>
    </row>
    <row r="420" spans="1:7">
      <c r="A420" t="s">
        <v>1357</v>
      </c>
      <c r="B420" t="s">
        <v>3652</v>
      </c>
      <c r="C420" t="s">
        <v>3652</v>
      </c>
      <c r="D420" t="s">
        <v>3652</v>
      </c>
      <c r="E420" t="s">
        <v>3652</v>
      </c>
      <c r="F420" t="s">
        <v>3652</v>
      </c>
      <c r="G420" t="str">
        <f t="shared" si="6"/>
        <v>Completed</v>
      </c>
    </row>
    <row r="421" spans="1:7">
      <c r="A421" t="s">
        <v>1360</v>
      </c>
      <c r="B421" t="s">
        <v>3653</v>
      </c>
      <c r="C421" t="s">
        <v>3653</v>
      </c>
      <c r="D421" t="s">
        <v>3652</v>
      </c>
      <c r="E421" t="s">
        <v>3653</v>
      </c>
      <c r="F421" t="s">
        <v>3653</v>
      </c>
      <c r="G421" t="str">
        <f t="shared" si="6"/>
        <v>Pending</v>
      </c>
    </row>
    <row r="422" spans="1:7">
      <c r="A422" t="s">
        <v>1363</v>
      </c>
      <c r="B422" t="s">
        <v>3652</v>
      </c>
      <c r="C422" t="s">
        <v>3652</v>
      </c>
      <c r="D422" t="s">
        <v>3652</v>
      </c>
      <c r="E422" t="s">
        <v>3652</v>
      </c>
      <c r="F422" t="s">
        <v>3652</v>
      </c>
      <c r="G422" t="str">
        <f t="shared" si="6"/>
        <v>Completed</v>
      </c>
    </row>
    <row r="423" spans="1:7">
      <c r="A423" t="s">
        <v>1366</v>
      </c>
      <c r="B423" t="s">
        <v>3652</v>
      </c>
      <c r="C423" t="s">
        <v>3652</v>
      </c>
      <c r="D423" t="s">
        <v>3652</v>
      </c>
      <c r="E423" t="s">
        <v>3652</v>
      </c>
      <c r="F423" t="s">
        <v>3652</v>
      </c>
      <c r="G423" t="str">
        <f t="shared" si="6"/>
        <v>Completed</v>
      </c>
    </row>
    <row r="424" spans="1:7">
      <c r="A424" t="s">
        <v>1369</v>
      </c>
      <c r="B424" t="s">
        <v>3652</v>
      </c>
      <c r="C424" t="s">
        <v>3652</v>
      </c>
      <c r="D424" t="s">
        <v>3653</v>
      </c>
      <c r="E424" t="s">
        <v>3652</v>
      </c>
      <c r="F424" t="s">
        <v>3652</v>
      </c>
      <c r="G424" t="str">
        <f t="shared" si="6"/>
        <v>Pending</v>
      </c>
    </row>
    <row r="425" spans="1:7">
      <c r="A425" t="s">
        <v>1372</v>
      </c>
      <c r="B425" t="s">
        <v>3652</v>
      </c>
      <c r="C425" t="s">
        <v>3652</v>
      </c>
      <c r="D425" t="s">
        <v>3652</v>
      </c>
      <c r="E425" t="s">
        <v>3652</v>
      </c>
      <c r="F425" t="s">
        <v>3653</v>
      </c>
      <c r="G425" t="str">
        <f t="shared" si="6"/>
        <v>Pending</v>
      </c>
    </row>
    <row r="426" spans="1:7">
      <c r="A426" t="s">
        <v>1375</v>
      </c>
      <c r="B426" t="s">
        <v>3652</v>
      </c>
      <c r="C426" t="s">
        <v>3652</v>
      </c>
      <c r="D426" t="s">
        <v>3652</v>
      </c>
      <c r="E426" t="s">
        <v>3653</v>
      </c>
      <c r="F426" t="s">
        <v>3652</v>
      </c>
      <c r="G426" t="str">
        <f t="shared" si="6"/>
        <v>Pending</v>
      </c>
    </row>
    <row r="427" spans="1:7">
      <c r="A427" t="s">
        <v>1378</v>
      </c>
      <c r="B427" t="s">
        <v>3652</v>
      </c>
      <c r="C427" t="s">
        <v>3653</v>
      </c>
      <c r="D427" t="s">
        <v>3652</v>
      </c>
      <c r="E427" t="s">
        <v>3652</v>
      </c>
      <c r="F427" t="s">
        <v>3652</v>
      </c>
      <c r="G427" t="str">
        <f t="shared" si="6"/>
        <v>Pending</v>
      </c>
    </row>
    <row r="428" spans="1:7">
      <c r="A428" t="s">
        <v>1381</v>
      </c>
      <c r="B428" t="s">
        <v>3653</v>
      </c>
      <c r="C428" t="s">
        <v>3652</v>
      </c>
      <c r="D428" t="s">
        <v>3652</v>
      </c>
      <c r="E428" t="s">
        <v>3652</v>
      </c>
      <c r="F428" t="s">
        <v>3652</v>
      </c>
      <c r="G428" t="str">
        <f t="shared" si="6"/>
        <v>Pending</v>
      </c>
    </row>
    <row r="429" spans="1:7">
      <c r="A429" t="s">
        <v>1384</v>
      </c>
      <c r="B429" t="s">
        <v>3652</v>
      </c>
      <c r="C429" t="s">
        <v>3652</v>
      </c>
      <c r="D429" t="s">
        <v>3652</v>
      </c>
      <c r="E429" t="s">
        <v>3652</v>
      </c>
      <c r="F429" t="s">
        <v>3653</v>
      </c>
      <c r="G429" t="str">
        <f t="shared" si="6"/>
        <v>Pending</v>
      </c>
    </row>
    <row r="430" spans="1:7">
      <c r="A430" t="s">
        <v>1387</v>
      </c>
      <c r="B430" t="s">
        <v>3652</v>
      </c>
      <c r="C430" t="s">
        <v>3652</v>
      </c>
      <c r="D430" t="s">
        <v>3652</v>
      </c>
      <c r="E430" t="s">
        <v>3652</v>
      </c>
      <c r="F430" t="s">
        <v>3652</v>
      </c>
      <c r="G430" t="str">
        <f t="shared" si="6"/>
        <v>Completed</v>
      </c>
    </row>
    <row r="431" spans="1:7">
      <c r="A431" t="s">
        <v>1390</v>
      </c>
      <c r="B431" t="s">
        <v>3652</v>
      </c>
      <c r="C431" t="s">
        <v>3652</v>
      </c>
      <c r="D431" t="s">
        <v>3652</v>
      </c>
      <c r="E431" t="s">
        <v>3653</v>
      </c>
      <c r="F431" t="s">
        <v>3652</v>
      </c>
      <c r="G431" t="str">
        <f t="shared" si="6"/>
        <v>Pending</v>
      </c>
    </row>
    <row r="432" spans="1:7">
      <c r="A432" t="s">
        <v>1393</v>
      </c>
      <c r="B432" t="s">
        <v>3652</v>
      </c>
      <c r="C432" t="s">
        <v>3652</v>
      </c>
      <c r="D432" t="s">
        <v>3652</v>
      </c>
      <c r="E432" t="s">
        <v>3652</v>
      </c>
      <c r="F432" t="s">
        <v>3652</v>
      </c>
      <c r="G432" t="str">
        <f t="shared" si="6"/>
        <v>Completed</v>
      </c>
    </row>
    <row r="433" spans="1:7">
      <c r="A433" t="s">
        <v>1396</v>
      </c>
      <c r="B433" t="s">
        <v>3652</v>
      </c>
      <c r="C433" t="s">
        <v>3653</v>
      </c>
      <c r="D433" t="s">
        <v>3653</v>
      </c>
      <c r="E433" t="s">
        <v>3652</v>
      </c>
      <c r="F433" t="s">
        <v>3653</v>
      </c>
      <c r="G433" t="str">
        <f t="shared" si="6"/>
        <v>Pending</v>
      </c>
    </row>
    <row r="434" spans="1:7">
      <c r="A434" t="s">
        <v>1399</v>
      </c>
      <c r="B434" t="s">
        <v>3652</v>
      </c>
      <c r="C434" t="s">
        <v>3652</v>
      </c>
      <c r="D434" t="s">
        <v>3652</v>
      </c>
      <c r="E434" t="s">
        <v>3652</v>
      </c>
      <c r="F434" t="s">
        <v>3652</v>
      </c>
      <c r="G434" t="str">
        <f t="shared" si="6"/>
        <v>Completed</v>
      </c>
    </row>
    <row r="435" spans="1:7">
      <c r="A435" t="s">
        <v>1402</v>
      </c>
      <c r="B435" t="s">
        <v>3653</v>
      </c>
      <c r="C435" t="s">
        <v>3652</v>
      </c>
      <c r="D435" t="s">
        <v>3652</v>
      </c>
      <c r="E435" t="s">
        <v>3652</v>
      </c>
      <c r="F435" t="s">
        <v>3652</v>
      </c>
      <c r="G435" t="str">
        <f t="shared" si="6"/>
        <v>Pending</v>
      </c>
    </row>
    <row r="436" spans="1:7">
      <c r="A436" t="s">
        <v>1405</v>
      </c>
      <c r="B436" t="s">
        <v>3652</v>
      </c>
      <c r="C436" t="s">
        <v>3652</v>
      </c>
      <c r="D436" t="s">
        <v>3652</v>
      </c>
      <c r="E436" t="s">
        <v>3653</v>
      </c>
      <c r="F436" t="s">
        <v>3652</v>
      </c>
      <c r="G436" t="str">
        <f t="shared" si="6"/>
        <v>Pending</v>
      </c>
    </row>
    <row r="437" spans="1:7">
      <c r="A437" t="s">
        <v>1408</v>
      </c>
      <c r="B437" t="s">
        <v>3652</v>
      </c>
      <c r="C437" t="s">
        <v>3652</v>
      </c>
      <c r="D437" t="s">
        <v>3652</v>
      </c>
      <c r="E437" t="s">
        <v>3652</v>
      </c>
      <c r="F437" t="s">
        <v>3653</v>
      </c>
      <c r="G437" t="str">
        <f t="shared" si="6"/>
        <v>Pending</v>
      </c>
    </row>
    <row r="438" spans="1:7">
      <c r="A438" t="s">
        <v>1411</v>
      </c>
      <c r="B438" t="s">
        <v>3652</v>
      </c>
      <c r="C438" t="s">
        <v>3652</v>
      </c>
      <c r="D438" t="s">
        <v>3652</v>
      </c>
      <c r="E438" t="s">
        <v>3652</v>
      </c>
      <c r="F438" t="s">
        <v>3652</v>
      </c>
      <c r="G438" t="str">
        <f t="shared" si="6"/>
        <v>Completed</v>
      </c>
    </row>
    <row r="439" spans="1:7">
      <c r="A439" t="s">
        <v>1414</v>
      </c>
      <c r="B439" t="s">
        <v>3652</v>
      </c>
      <c r="C439" t="s">
        <v>3653</v>
      </c>
      <c r="D439" t="s">
        <v>3652</v>
      </c>
      <c r="E439" t="s">
        <v>3652</v>
      </c>
      <c r="F439" t="s">
        <v>3652</v>
      </c>
      <c r="G439" t="str">
        <f t="shared" si="6"/>
        <v>Pending</v>
      </c>
    </row>
    <row r="440" spans="1:7">
      <c r="A440" t="s">
        <v>1417</v>
      </c>
      <c r="B440" t="s">
        <v>3652</v>
      </c>
      <c r="C440" t="s">
        <v>3652</v>
      </c>
      <c r="D440" t="s">
        <v>3652</v>
      </c>
      <c r="E440" t="s">
        <v>3652</v>
      </c>
      <c r="F440" t="s">
        <v>3652</v>
      </c>
      <c r="G440" t="str">
        <f t="shared" si="6"/>
        <v>Completed</v>
      </c>
    </row>
    <row r="441" spans="1:7">
      <c r="A441" t="s">
        <v>1420</v>
      </c>
      <c r="B441" t="s">
        <v>3652</v>
      </c>
      <c r="C441" t="s">
        <v>3652</v>
      </c>
      <c r="D441" t="s">
        <v>3652</v>
      </c>
      <c r="E441" t="s">
        <v>3653</v>
      </c>
      <c r="F441" t="s">
        <v>3653</v>
      </c>
      <c r="G441" t="str">
        <f t="shared" si="6"/>
        <v>Pending</v>
      </c>
    </row>
    <row r="442" spans="1:7">
      <c r="A442" t="s">
        <v>1423</v>
      </c>
      <c r="B442" t="s">
        <v>3653</v>
      </c>
      <c r="C442" t="s">
        <v>3652</v>
      </c>
      <c r="D442" t="s">
        <v>3653</v>
      </c>
      <c r="E442" t="s">
        <v>3652</v>
      </c>
      <c r="F442" t="s">
        <v>3652</v>
      </c>
      <c r="G442" t="str">
        <f t="shared" si="6"/>
        <v>Pending</v>
      </c>
    </row>
    <row r="443" spans="1:7">
      <c r="A443" t="s">
        <v>1426</v>
      </c>
      <c r="B443" t="s">
        <v>3652</v>
      </c>
      <c r="C443" t="s">
        <v>3652</v>
      </c>
      <c r="D443" t="s">
        <v>3652</v>
      </c>
      <c r="E443" t="s">
        <v>3652</v>
      </c>
      <c r="F443" t="s">
        <v>3652</v>
      </c>
      <c r="G443" t="str">
        <f t="shared" si="6"/>
        <v>Completed</v>
      </c>
    </row>
    <row r="444" spans="1:7">
      <c r="A444" t="s">
        <v>1429</v>
      </c>
      <c r="B444" t="s">
        <v>3652</v>
      </c>
      <c r="C444" t="s">
        <v>3652</v>
      </c>
      <c r="D444" t="s">
        <v>3652</v>
      </c>
      <c r="E444" t="s">
        <v>3652</v>
      </c>
      <c r="F444" t="s">
        <v>3652</v>
      </c>
      <c r="G444" t="str">
        <f t="shared" si="6"/>
        <v>Completed</v>
      </c>
    </row>
    <row r="445" spans="1:7">
      <c r="A445" t="s">
        <v>1432</v>
      </c>
      <c r="B445" t="s">
        <v>3652</v>
      </c>
      <c r="C445" t="s">
        <v>3653</v>
      </c>
      <c r="D445" t="s">
        <v>3652</v>
      </c>
      <c r="E445" t="s">
        <v>3652</v>
      </c>
      <c r="F445" t="s">
        <v>3653</v>
      </c>
      <c r="G445" t="str">
        <f t="shared" si="6"/>
        <v>Pending</v>
      </c>
    </row>
    <row r="446" spans="1:7">
      <c r="A446" t="s">
        <v>1435</v>
      </c>
      <c r="B446" t="s">
        <v>3652</v>
      </c>
      <c r="C446" t="s">
        <v>3652</v>
      </c>
      <c r="D446" t="s">
        <v>3652</v>
      </c>
      <c r="E446" t="s">
        <v>3653</v>
      </c>
      <c r="F446" t="s">
        <v>3652</v>
      </c>
      <c r="G446" t="str">
        <f t="shared" si="6"/>
        <v>Pending</v>
      </c>
    </row>
    <row r="447" spans="1:7">
      <c r="A447" t="s">
        <v>1438</v>
      </c>
      <c r="B447" t="s">
        <v>3652</v>
      </c>
      <c r="C447" t="s">
        <v>3652</v>
      </c>
      <c r="D447" t="s">
        <v>3652</v>
      </c>
      <c r="E447" t="s">
        <v>3652</v>
      </c>
      <c r="F447" t="s">
        <v>3652</v>
      </c>
      <c r="G447" t="str">
        <f t="shared" si="6"/>
        <v>Completed</v>
      </c>
    </row>
    <row r="448" spans="1:7">
      <c r="A448" t="s">
        <v>1441</v>
      </c>
      <c r="B448" t="s">
        <v>3652</v>
      </c>
      <c r="C448" t="s">
        <v>3652</v>
      </c>
      <c r="D448" t="s">
        <v>3652</v>
      </c>
      <c r="E448" t="s">
        <v>3652</v>
      </c>
      <c r="F448" t="s">
        <v>3652</v>
      </c>
      <c r="G448" t="str">
        <f t="shared" si="6"/>
        <v>Completed</v>
      </c>
    </row>
    <row r="449" spans="1:7">
      <c r="A449" t="s">
        <v>1444</v>
      </c>
      <c r="B449" t="s">
        <v>3653</v>
      </c>
      <c r="C449" t="s">
        <v>3652</v>
      </c>
      <c r="D449" t="s">
        <v>3652</v>
      </c>
      <c r="E449" t="s">
        <v>3652</v>
      </c>
      <c r="F449" t="s">
        <v>3653</v>
      </c>
      <c r="G449" t="str">
        <f t="shared" si="6"/>
        <v>Pending</v>
      </c>
    </row>
    <row r="450" spans="1:7">
      <c r="A450" t="s">
        <v>1447</v>
      </c>
      <c r="B450" t="s">
        <v>3652</v>
      </c>
      <c r="C450" t="s">
        <v>3652</v>
      </c>
      <c r="D450" t="s">
        <v>3652</v>
      </c>
      <c r="E450" t="s">
        <v>3652</v>
      </c>
      <c r="F450" t="s">
        <v>3652</v>
      </c>
      <c r="G450" t="str">
        <f t="shared" ref="G450:G513" si="7">IF(AND(B450="Yes",C450="Yes",D450="Yes",E450="Yes",F450="Yes"),"Completed","Pending")</f>
        <v>Completed</v>
      </c>
    </row>
    <row r="451" spans="1:7">
      <c r="A451" t="s">
        <v>1450</v>
      </c>
      <c r="B451" t="s">
        <v>3652</v>
      </c>
      <c r="C451" t="s">
        <v>3653</v>
      </c>
      <c r="D451" t="s">
        <v>3653</v>
      </c>
      <c r="E451" t="s">
        <v>3653</v>
      </c>
      <c r="F451" t="s">
        <v>3652</v>
      </c>
      <c r="G451" t="str">
        <f t="shared" si="7"/>
        <v>Pending</v>
      </c>
    </row>
    <row r="452" spans="1:7">
      <c r="A452" t="s">
        <v>1453</v>
      </c>
      <c r="B452" t="s">
        <v>3652</v>
      </c>
      <c r="C452" t="s">
        <v>3652</v>
      </c>
      <c r="D452" t="s">
        <v>3652</v>
      </c>
      <c r="E452" t="s">
        <v>3652</v>
      </c>
      <c r="F452" t="s">
        <v>3652</v>
      </c>
      <c r="G452" t="str">
        <f t="shared" si="7"/>
        <v>Completed</v>
      </c>
    </row>
    <row r="453" spans="1:7">
      <c r="A453" t="s">
        <v>1456</v>
      </c>
      <c r="B453" t="s">
        <v>3652</v>
      </c>
      <c r="C453" t="s">
        <v>3652</v>
      </c>
      <c r="D453" t="s">
        <v>3652</v>
      </c>
      <c r="E453" t="s">
        <v>3652</v>
      </c>
      <c r="F453" t="s">
        <v>3653</v>
      </c>
      <c r="G453" t="str">
        <f t="shared" si="7"/>
        <v>Pending</v>
      </c>
    </row>
    <row r="454" spans="1:7">
      <c r="A454" t="s">
        <v>1459</v>
      </c>
      <c r="B454" t="s">
        <v>3652</v>
      </c>
      <c r="C454" t="s">
        <v>3652</v>
      </c>
      <c r="D454" t="s">
        <v>3652</v>
      </c>
      <c r="E454" t="s">
        <v>3652</v>
      </c>
      <c r="F454" t="s">
        <v>3652</v>
      </c>
      <c r="G454" t="str">
        <f t="shared" si="7"/>
        <v>Completed</v>
      </c>
    </row>
    <row r="455" spans="1:7">
      <c r="A455" t="s">
        <v>1462</v>
      </c>
      <c r="B455" t="s">
        <v>3652</v>
      </c>
      <c r="C455" t="s">
        <v>3652</v>
      </c>
      <c r="D455" t="s">
        <v>3652</v>
      </c>
      <c r="E455" t="s">
        <v>3652</v>
      </c>
      <c r="F455" t="s">
        <v>3652</v>
      </c>
      <c r="G455" t="str">
        <f t="shared" si="7"/>
        <v>Completed</v>
      </c>
    </row>
    <row r="456" spans="1:7">
      <c r="A456" t="s">
        <v>1465</v>
      </c>
      <c r="B456" t="s">
        <v>3653</v>
      </c>
      <c r="C456" t="s">
        <v>3652</v>
      </c>
      <c r="D456" t="s">
        <v>3652</v>
      </c>
      <c r="E456" t="s">
        <v>3653</v>
      </c>
      <c r="F456" t="s">
        <v>3652</v>
      </c>
      <c r="G456" t="str">
        <f t="shared" si="7"/>
        <v>Pending</v>
      </c>
    </row>
    <row r="457" spans="1:7">
      <c r="A457" t="s">
        <v>1468</v>
      </c>
      <c r="B457" t="s">
        <v>3652</v>
      </c>
      <c r="C457" t="s">
        <v>3653</v>
      </c>
      <c r="D457" t="s">
        <v>3652</v>
      </c>
      <c r="E457" t="s">
        <v>3652</v>
      </c>
      <c r="F457" t="s">
        <v>3653</v>
      </c>
      <c r="G457" t="str">
        <f t="shared" si="7"/>
        <v>Pending</v>
      </c>
    </row>
    <row r="458" spans="1:7">
      <c r="A458" t="s">
        <v>1471</v>
      </c>
      <c r="B458" t="s">
        <v>3652</v>
      </c>
      <c r="C458" t="s">
        <v>3652</v>
      </c>
      <c r="D458" t="s">
        <v>3652</v>
      </c>
      <c r="E458" t="s">
        <v>3652</v>
      </c>
      <c r="F458" t="s">
        <v>3652</v>
      </c>
      <c r="G458" t="str">
        <f t="shared" si="7"/>
        <v>Completed</v>
      </c>
    </row>
    <row r="459" spans="1:7">
      <c r="A459" t="s">
        <v>1474</v>
      </c>
      <c r="B459" t="s">
        <v>3652</v>
      </c>
      <c r="C459" t="s">
        <v>3652</v>
      </c>
      <c r="D459" t="s">
        <v>3652</v>
      </c>
      <c r="E459" t="s">
        <v>3652</v>
      </c>
      <c r="F459" t="s">
        <v>3652</v>
      </c>
      <c r="G459" t="str">
        <f t="shared" si="7"/>
        <v>Completed</v>
      </c>
    </row>
    <row r="460" spans="1:7">
      <c r="A460" t="s">
        <v>1477</v>
      </c>
      <c r="B460" t="s">
        <v>3652</v>
      </c>
      <c r="C460" t="s">
        <v>3652</v>
      </c>
      <c r="D460" t="s">
        <v>3653</v>
      </c>
      <c r="E460" t="s">
        <v>3652</v>
      </c>
      <c r="F460" t="s">
        <v>3652</v>
      </c>
      <c r="G460" t="str">
        <f t="shared" si="7"/>
        <v>Pending</v>
      </c>
    </row>
    <row r="461" spans="1:7">
      <c r="A461" t="s">
        <v>1480</v>
      </c>
      <c r="B461" t="s">
        <v>3652</v>
      </c>
      <c r="C461" t="s">
        <v>3652</v>
      </c>
      <c r="D461" t="s">
        <v>3652</v>
      </c>
      <c r="E461" t="s">
        <v>3653</v>
      </c>
      <c r="F461" t="s">
        <v>3653</v>
      </c>
      <c r="G461" t="str">
        <f t="shared" si="7"/>
        <v>Pending</v>
      </c>
    </row>
    <row r="462" spans="1:7">
      <c r="A462" t="s">
        <v>1483</v>
      </c>
      <c r="B462" t="s">
        <v>3652</v>
      </c>
      <c r="C462" t="s">
        <v>3652</v>
      </c>
      <c r="D462" t="s">
        <v>3652</v>
      </c>
      <c r="E462" t="s">
        <v>3652</v>
      </c>
      <c r="F462" t="s">
        <v>3652</v>
      </c>
      <c r="G462" t="str">
        <f t="shared" si="7"/>
        <v>Completed</v>
      </c>
    </row>
    <row r="463" spans="1:7">
      <c r="A463" t="s">
        <v>1486</v>
      </c>
      <c r="B463" t="s">
        <v>3653</v>
      </c>
      <c r="C463" t="s">
        <v>3653</v>
      </c>
      <c r="D463" t="s">
        <v>3652</v>
      </c>
      <c r="E463" t="s">
        <v>3652</v>
      </c>
      <c r="F463" t="s">
        <v>3652</v>
      </c>
      <c r="G463" t="str">
        <f t="shared" si="7"/>
        <v>Pending</v>
      </c>
    </row>
    <row r="464" spans="1:7">
      <c r="A464" t="s">
        <v>1489</v>
      </c>
      <c r="B464" t="s">
        <v>3652</v>
      </c>
      <c r="C464" t="s">
        <v>3652</v>
      </c>
      <c r="D464" t="s">
        <v>3652</v>
      </c>
      <c r="E464" t="s">
        <v>3652</v>
      </c>
      <c r="F464" t="s">
        <v>3652</v>
      </c>
      <c r="G464" t="str">
        <f t="shared" si="7"/>
        <v>Completed</v>
      </c>
    </row>
    <row r="465" spans="1:7">
      <c r="A465" t="s">
        <v>1492</v>
      </c>
      <c r="B465" t="s">
        <v>3652</v>
      </c>
      <c r="C465" t="s">
        <v>3652</v>
      </c>
      <c r="D465" t="s">
        <v>3652</v>
      </c>
      <c r="E465" t="s">
        <v>3652</v>
      </c>
      <c r="F465" t="s">
        <v>3653</v>
      </c>
      <c r="G465" t="str">
        <f t="shared" si="7"/>
        <v>Pending</v>
      </c>
    </row>
    <row r="466" spans="1:7">
      <c r="A466" t="s">
        <v>1495</v>
      </c>
      <c r="B466" t="s">
        <v>3652</v>
      </c>
      <c r="C466" t="s">
        <v>3652</v>
      </c>
      <c r="D466" t="s">
        <v>3652</v>
      </c>
      <c r="E466" t="s">
        <v>3653</v>
      </c>
      <c r="F466" t="s">
        <v>3652</v>
      </c>
      <c r="G466" t="str">
        <f t="shared" si="7"/>
        <v>Pending</v>
      </c>
    </row>
    <row r="467" spans="1:7">
      <c r="A467" t="s">
        <v>1498</v>
      </c>
      <c r="B467" t="s">
        <v>3652</v>
      </c>
      <c r="C467" t="s">
        <v>3652</v>
      </c>
      <c r="D467" t="s">
        <v>3652</v>
      </c>
      <c r="E467" t="s">
        <v>3652</v>
      </c>
      <c r="F467" t="s">
        <v>3652</v>
      </c>
      <c r="G467" t="str">
        <f t="shared" si="7"/>
        <v>Completed</v>
      </c>
    </row>
    <row r="468" spans="1:7">
      <c r="A468" t="s">
        <v>1501</v>
      </c>
      <c r="B468" t="s">
        <v>3652</v>
      </c>
      <c r="C468" t="s">
        <v>3652</v>
      </c>
      <c r="D468" t="s">
        <v>3652</v>
      </c>
      <c r="E468" t="s">
        <v>3652</v>
      </c>
      <c r="F468" t="s">
        <v>3652</v>
      </c>
      <c r="G468" t="str">
        <f t="shared" si="7"/>
        <v>Completed</v>
      </c>
    </row>
    <row r="469" spans="1:7">
      <c r="A469" t="s">
        <v>1504</v>
      </c>
      <c r="B469" t="s">
        <v>3652</v>
      </c>
      <c r="C469" t="s">
        <v>3653</v>
      </c>
      <c r="D469" t="s">
        <v>3653</v>
      </c>
      <c r="E469" t="s">
        <v>3652</v>
      </c>
      <c r="F469" t="s">
        <v>3653</v>
      </c>
      <c r="G469" t="str">
        <f t="shared" si="7"/>
        <v>Pending</v>
      </c>
    </row>
    <row r="470" spans="1:7">
      <c r="A470" t="s">
        <v>1507</v>
      </c>
      <c r="B470" t="s">
        <v>3653</v>
      </c>
      <c r="C470" t="s">
        <v>3652</v>
      </c>
      <c r="D470" t="s">
        <v>3652</v>
      </c>
      <c r="E470" t="s">
        <v>3652</v>
      </c>
      <c r="F470" t="s">
        <v>3652</v>
      </c>
      <c r="G470" t="str">
        <f t="shared" si="7"/>
        <v>Pending</v>
      </c>
    </row>
    <row r="471" spans="1:7">
      <c r="A471" t="s">
        <v>1510</v>
      </c>
      <c r="B471" t="s">
        <v>3652</v>
      </c>
      <c r="C471" t="s">
        <v>3652</v>
      </c>
      <c r="D471" t="s">
        <v>3652</v>
      </c>
      <c r="E471" t="s">
        <v>3653</v>
      </c>
      <c r="F471" t="s">
        <v>3652</v>
      </c>
      <c r="G471" t="str">
        <f t="shared" si="7"/>
        <v>Pending</v>
      </c>
    </row>
    <row r="472" spans="1:7">
      <c r="A472" t="s">
        <v>1513</v>
      </c>
      <c r="B472" t="s">
        <v>3652</v>
      </c>
      <c r="C472" t="s">
        <v>3652</v>
      </c>
      <c r="D472" t="s">
        <v>3652</v>
      </c>
      <c r="E472" t="s">
        <v>3652</v>
      </c>
      <c r="F472" t="s">
        <v>3652</v>
      </c>
      <c r="G472" t="str">
        <f t="shared" si="7"/>
        <v>Completed</v>
      </c>
    </row>
    <row r="473" spans="1:7">
      <c r="A473" t="s">
        <v>1516</v>
      </c>
      <c r="B473" t="s">
        <v>3652</v>
      </c>
      <c r="C473" t="s">
        <v>3652</v>
      </c>
      <c r="D473" t="s">
        <v>3652</v>
      </c>
      <c r="E473" t="s">
        <v>3652</v>
      </c>
      <c r="F473" t="s">
        <v>3653</v>
      </c>
      <c r="G473" t="str">
        <f t="shared" si="7"/>
        <v>Pending</v>
      </c>
    </row>
    <row r="474" spans="1:7">
      <c r="A474" t="s">
        <v>1519</v>
      </c>
      <c r="B474" t="s">
        <v>3652</v>
      </c>
      <c r="C474" t="s">
        <v>3652</v>
      </c>
      <c r="D474" t="s">
        <v>3652</v>
      </c>
      <c r="E474" t="s">
        <v>3652</v>
      </c>
      <c r="F474" t="s">
        <v>3652</v>
      </c>
      <c r="G474" t="str">
        <f t="shared" si="7"/>
        <v>Completed</v>
      </c>
    </row>
    <row r="475" spans="1:7">
      <c r="A475" t="s">
        <v>1522</v>
      </c>
      <c r="B475" t="s">
        <v>3652</v>
      </c>
      <c r="C475" t="s">
        <v>3653</v>
      </c>
      <c r="D475" t="s">
        <v>3652</v>
      </c>
      <c r="E475" t="s">
        <v>3652</v>
      </c>
      <c r="F475" t="s">
        <v>3652</v>
      </c>
      <c r="G475" t="str">
        <f t="shared" si="7"/>
        <v>Pending</v>
      </c>
    </row>
    <row r="476" spans="1:7">
      <c r="A476" t="s">
        <v>1525</v>
      </c>
      <c r="B476" t="s">
        <v>3652</v>
      </c>
      <c r="C476" t="s">
        <v>3652</v>
      </c>
      <c r="D476" t="s">
        <v>3652</v>
      </c>
      <c r="E476" t="s">
        <v>3653</v>
      </c>
      <c r="F476" t="s">
        <v>3652</v>
      </c>
      <c r="G476" t="str">
        <f t="shared" si="7"/>
        <v>Pending</v>
      </c>
    </row>
    <row r="477" spans="1:7">
      <c r="A477" t="s">
        <v>1528</v>
      </c>
      <c r="B477" t="s">
        <v>3653</v>
      </c>
      <c r="C477" t="s">
        <v>3652</v>
      </c>
      <c r="D477" t="s">
        <v>3652</v>
      </c>
      <c r="E477" t="s">
        <v>3652</v>
      </c>
      <c r="F477" t="s">
        <v>3653</v>
      </c>
      <c r="G477" t="str">
        <f t="shared" si="7"/>
        <v>Pending</v>
      </c>
    </row>
    <row r="478" spans="1:7">
      <c r="A478" t="s">
        <v>1531</v>
      </c>
      <c r="B478" t="s">
        <v>3652</v>
      </c>
      <c r="C478" t="s">
        <v>3652</v>
      </c>
      <c r="D478" t="s">
        <v>3653</v>
      </c>
      <c r="E478" t="s">
        <v>3652</v>
      </c>
      <c r="F478" t="s">
        <v>3652</v>
      </c>
      <c r="G478" t="str">
        <f t="shared" si="7"/>
        <v>Pending</v>
      </c>
    </row>
    <row r="479" spans="1:7">
      <c r="A479" t="s">
        <v>1534</v>
      </c>
      <c r="B479" t="s">
        <v>3652</v>
      </c>
      <c r="C479" t="s">
        <v>3652</v>
      </c>
      <c r="D479" t="s">
        <v>3652</v>
      </c>
      <c r="E479" t="s">
        <v>3652</v>
      </c>
      <c r="F479" t="s">
        <v>3652</v>
      </c>
      <c r="G479" t="str">
        <f t="shared" si="7"/>
        <v>Completed</v>
      </c>
    </row>
    <row r="480" spans="1:7">
      <c r="A480" t="s">
        <v>1537</v>
      </c>
      <c r="B480" t="s">
        <v>3652</v>
      </c>
      <c r="C480" t="s">
        <v>3652</v>
      </c>
      <c r="D480" t="s">
        <v>3652</v>
      </c>
      <c r="E480" t="s">
        <v>3652</v>
      </c>
      <c r="F480" t="s">
        <v>3652</v>
      </c>
      <c r="G480" t="str">
        <f t="shared" si="7"/>
        <v>Completed</v>
      </c>
    </row>
    <row r="481" spans="1:7">
      <c r="A481" t="s">
        <v>1540</v>
      </c>
      <c r="B481" t="s">
        <v>3652</v>
      </c>
      <c r="C481" t="s">
        <v>3653</v>
      </c>
      <c r="D481" t="s">
        <v>3652</v>
      </c>
      <c r="E481" t="s">
        <v>3653</v>
      </c>
      <c r="F481" t="s">
        <v>3653</v>
      </c>
      <c r="G481" t="str">
        <f t="shared" si="7"/>
        <v>Pending</v>
      </c>
    </row>
    <row r="482" spans="1:7">
      <c r="A482" t="s">
        <v>1543</v>
      </c>
      <c r="B482" t="s">
        <v>3652</v>
      </c>
      <c r="C482" t="s">
        <v>3652</v>
      </c>
      <c r="D482" t="s">
        <v>3652</v>
      </c>
      <c r="E482" t="s">
        <v>3652</v>
      </c>
      <c r="F482" t="s">
        <v>3652</v>
      </c>
      <c r="G482" t="str">
        <f t="shared" si="7"/>
        <v>Completed</v>
      </c>
    </row>
    <row r="483" spans="1:7">
      <c r="A483" t="s">
        <v>1546</v>
      </c>
      <c r="B483" t="s">
        <v>3652</v>
      </c>
      <c r="C483" t="s">
        <v>3652</v>
      </c>
      <c r="D483" t="s">
        <v>3652</v>
      </c>
      <c r="E483" t="s">
        <v>3652</v>
      </c>
      <c r="F483" t="s">
        <v>3652</v>
      </c>
      <c r="G483" t="str">
        <f t="shared" si="7"/>
        <v>Completed</v>
      </c>
    </row>
    <row r="484" spans="1:7">
      <c r="A484" t="s">
        <v>1549</v>
      </c>
      <c r="B484" t="s">
        <v>3653</v>
      </c>
      <c r="C484" t="s">
        <v>3652</v>
      </c>
      <c r="D484" t="s">
        <v>3652</v>
      </c>
      <c r="E484" t="s">
        <v>3652</v>
      </c>
      <c r="F484" t="s">
        <v>3652</v>
      </c>
      <c r="G484" t="str">
        <f t="shared" si="7"/>
        <v>Pending</v>
      </c>
    </row>
    <row r="485" spans="1:7">
      <c r="A485" t="s">
        <v>1552</v>
      </c>
      <c r="B485" t="s">
        <v>3652</v>
      </c>
      <c r="C485" t="s">
        <v>3652</v>
      </c>
      <c r="D485" t="s">
        <v>3652</v>
      </c>
      <c r="E485" t="s">
        <v>3652</v>
      </c>
      <c r="F485" t="s">
        <v>3653</v>
      </c>
      <c r="G485" t="str">
        <f t="shared" si="7"/>
        <v>Pending</v>
      </c>
    </row>
    <row r="486" spans="1:7">
      <c r="A486" t="s">
        <v>1555</v>
      </c>
      <c r="B486" t="s">
        <v>3652</v>
      </c>
      <c r="C486" t="s">
        <v>3652</v>
      </c>
      <c r="D486" t="s">
        <v>3652</v>
      </c>
      <c r="E486" t="s">
        <v>3653</v>
      </c>
      <c r="F486" t="s">
        <v>3652</v>
      </c>
      <c r="G486" t="str">
        <f t="shared" si="7"/>
        <v>Pending</v>
      </c>
    </row>
    <row r="487" spans="1:7">
      <c r="A487" t="s">
        <v>1558</v>
      </c>
      <c r="B487" t="s">
        <v>3652</v>
      </c>
      <c r="C487" t="s">
        <v>3653</v>
      </c>
      <c r="D487" t="s">
        <v>3653</v>
      </c>
      <c r="E487" t="s">
        <v>3652</v>
      </c>
      <c r="F487" t="s">
        <v>3652</v>
      </c>
      <c r="G487" t="str">
        <f t="shared" si="7"/>
        <v>Pending</v>
      </c>
    </row>
    <row r="488" spans="1:7">
      <c r="A488" t="s">
        <v>1561</v>
      </c>
      <c r="B488" t="s">
        <v>3652</v>
      </c>
      <c r="C488" t="s">
        <v>3652</v>
      </c>
      <c r="D488" t="s">
        <v>3652</v>
      </c>
      <c r="E488" t="s">
        <v>3652</v>
      </c>
      <c r="F488" t="s">
        <v>3652</v>
      </c>
      <c r="G488" t="str">
        <f t="shared" si="7"/>
        <v>Completed</v>
      </c>
    </row>
    <row r="489" spans="1:7">
      <c r="A489" t="s">
        <v>1564</v>
      </c>
      <c r="B489" t="s">
        <v>3652</v>
      </c>
      <c r="C489" t="s">
        <v>3652</v>
      </c>
      <c r="D489" t="s">
        <v>3652</v>
      </c>
      <c r="E489" t="s">
        <v>3652</v>
      </c>
      <c r="F489" t="s">
        <v>3653</v>
      </c>
      <c r="G489" t="str">
        <f t="shared" si="7"/>
        <v>Pending</v>
      </c>
    </row>
    <row r="490" spans="1:7">
      <c r="A490" t="s">
        <v>1567</v>
      </c>
      <c r="B490" t="s">
        <v>3652</v>
      </c>
      <c r="C490" t="s">
        <v>3652</v>
      </c>
      <c r="D490" t="s">
        <v>3652</v>
      </c>
      <c r="E490" t="s">
        <v>3652</v>
      </c>
      <c r="F490" t="s">
        <v>3652</v>
      </c>
      <c r="G490" t="str">
        <f t="shared" si="7"/>
        <v>Completed</v>
      </c>
    </row>
    <row r="491" spans="1:7">
      <c r="A491" t="s">
        <v>1570</v>
      </c>
      <c r="B491" t="s">
        <v>3653</v>
      </c>
      <c r="C491" t="s">
        <v>3652</v>
      </c>
      <c r="D491" t="s">
        <v>3652</v>
      </c>
      <c r="E491" t="s">
        <v>3653</v>
      </c>
      <c r="F491" t="s">
        <v>3652</v>
      </c>
      <c r="G491" t="str">
        <f t="shared" si="7"/>
        <v>Pending</v>
      </c>
    </row>
    <row r="492" spans="1:7">
      <c r="A492" t="s">
        <v>1573</v>
      </c>
      <c r="B492" t="s">
        <v>3652</v>
      </c>
      <c r="C492" t="s">
        <v>3652</v>
      </c>
      <c r="D492" t="s">
        <v>3652</v>
      </c>
      <c r="E492" t="s">
        <v>3652</v>
      </c>
      <c r="F492" t="s">
        <v>3652</v>
      </c>
      <c r="G492" t="str">
        <f t="shared" si="7"/>
        <v>Completed</v>
      </c>
    </row>
    <row r="493" spans="1:7">
      <c r="A493" t="s">
        <v>1576</v>
      </c>
      <c r="B493" t="s">
        <v>3652</v>
      </c>
      <c r="C493" t="s">
        <v>3653</v>
      </c>
      <c r="D493" t="s">
        <v>3652</v>
      </c>
      <c r="E493" t="s">
        <v>3652</v>
      </c>
      <c r="F493" t="s">
        <v>3653</v>
      </c>
      <c r="G493" t="str">
        <f t="shared" si="7"/>
        <v>Pending</v>
      </c>
    </row>
    <row r="494" spans="1:7">
      <c r="A494" t="s">
        <v>1579</v>
      </c>
      <c r="B494" t="s">
        <v>3652</v>
      </c>
      <c r="C494" t="s">
        <v>3652</v>
      </c>
      <c r="D494" t="s">
        <v>3652</v>
      </c>
      <c r="E494" t="s">
        <v>3652</v>
      </c>
      <c r="F494" t="s">
        <v>3652</v>
      </c>
      <c r="G494" t="str">
        <f t="shared" si="7"/>
        <v>Completed</v>
      </c>
    </row>
    <row r="495" spans="1:7">
      <c r="A495" t="s">
        <v>1582</v>
      </c>
      <c r="B495" t="s">
        <v>3652</v>
      </c>
      <c r="C495" t="s">
        <v>3652</v>
      </c>
      <c r="D495" t="s">
        <v>3652</v>
      </c>
      <c r="E495" t="s">
        <v>3652</v>
      </c>
      <c r="F495" t="s">
        <v>3652</v>
      </c>
      <c r="G495" t="str">
        <f t="shared" si="7"/>
        <v>Completed</v>
      </c>
    </row>
    <row r="496" spans="1:7">
      <c r="A496" t="s">
        <v>1585</v>
      </c>
      <c r="B496" t="s">
        <v>3652</v>
      </c>
      <c r="C496" t="s">
        <v>3652</v>
      </c>
      <c r="D496" t="s">
        <v>3653</v>
      </c>
      <c r="E496" t="s">
        <v>3653</v>
      </c>
      <c r="F496" t="s">
        <v>3652</v>
      </c>
      <c r="G496" t="str">
        <f t="shared" si="7"/>
        <v>Pending</v>
      </c>
    </row>
    <row r="497" spans="1:7">
      <c r="A497" t="s">
        <v>1588</v>
      </c>
      <c r="B497" t="s">
        <v>3652</v>
      </c>
      <c r="C497" t="s">
        <v>3652</v>
      </c>
      <c r="D497" t="s">
        <v>3652</v>
      </c>
      <c r="E497" t="s">
        <v>3652</v>
      </c>
      <c r="F497" t="s">
        <v>3653</v>
      </c>
      <c r="G497" t="str">
        <f t="shared" si="7"/>
        <v>Pending</v>
      </c>
    </row>
    <row r="498" spans="1:7">
      <c r="A498" t="s">
        <v>1591</v>
      </c>
      <c r="B498" t="s">
        <v>3653</v>
      </c>
      <c r="C498" t="s">
        <v>3652</v>
      </c>
      <c r="D498" t="s">
        <v>3652</v>
      </c>
      <c r="E498" t="s">
        <v>3652</v>
      </c>
      <c r="F498" t="s">
        <v>3652</v>
      </c>
      <c r="G498" t="str">
        <f t="shared" si="7"/>
        <v>Pending</v>
      </c>
    </row>
    <row r="499" spans="1:7">
      <c r="A499" t="s">
        <v>1594</v>
      </c>
      <c r="B499" t="s">
        <v>3652</v>
      </c>
      <c r="C499" t="s">
        <v>3653</v>
      </c>
      <c r="D499" t="s">
        <v>3652</v>
      </c>
      <c r="E499" t="s">
        <v>3652</v>
      </c>
      <c r="F499" t="s">
        <v>3652</v>
      </c>
      <c r="G499" t="str">
        <f t="shared" si="7"/>
        <v>Pending</v>
      </c>
    </row>
    <row r="500" spans="1:7">
      <c r="A500" t="s">
        <v>1597</v>
      </c>
      <c r="B500" t="s">
        <v>3652</v>
      </c>
      <c r="C500" t="s">
        <v>3652</v>
      </c>
      <c r="D500" t="s">
        <v>3652</v>
      </c>
      <c r="E500" t="s">
        <v>3652</v>
      </c>
      <c r="F500" t="s">
        <v>3652</v>
      </c>
      <c r="G500" t="str">
        <f t="shared" si="7"/>
        <v>Completed</v>
      </c>
    </row>
    <row r="501" spans="1:7">
      <c r="A501" t="s">
        <v>1600</v>
      </c>
      <c r="B501" t="s">
        <v>3652</v>
      </c>
      <c r="C501" t="s">
        <v>3652</v>
      </c>
      <c r="D501" t="s">
        <v>3652</v>
      </c>
      <c r="E501" t="s">
        <v>3653</v>
      </c>
      <c r="F501" t="s">
        <v>3653</v>
      </c>
      <c r="G501" t="str">
        <f t="shared" si="7"/>
        <v>Pending</v>
      </c>
    </row>
  </sheetData>
  <conditionalFormatting sqref="G2:G501">
    <cfRule type="expression" dxfId="1" priority="1">
      <formula>G2="Pending"</formula>
    </cfRule>
  </conditionalFormatting>
  <dataValidations count="1">
    <dataValidation type="list" sqref="B2:F501" xr:uid="{00000000-0002-0000-04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zoomScale="53" workbookViewId="0">
      <selection activeCell="D13" sqref="D13"/>
    </sheetView>
  </sheetViews>
  <sheetFormatPr defaultRowHeight="13.8"/>
  <cols>
    <col min="1" max="1" width="28" customWidth="1"/>
    <col min="2" max="2" width="16" customWidth="1"/>
    <col min="3" max="3" width="4" customWidth="1"/>
    <col min="4" max="4" width="20" customWidth="1"/>
    <col min="5" max="5" width="16" customWidth="1"/>
    <col min="6" max="6" width="4" customWidth="1"/>
    <col min="7" max="8" width="16" customWidth="1"/>
  </cols>
  <sheetData>
    <row r="1" spans="1:8" ht="17.399999999999999">
      <c r="A1" s="6" t="s">
        <v>3654</v>
      </c>
      <c r="B1" s="6"/>
      <c r="C1" s="6"/>
      <c r="D1" s="6"/>
      <c r="E1" s="6"/>
      <c r="F1" s="6"/>
      <c r="G1" s="6"/>
      <c r="H1" s="6"/>
    </row>
    <row r="3" spans="1:8">
      <c r="A3" s="1" t="s">
        <v>3655</v>
      </c>
      <c r="B3" s="1" t="s">
        <v>3656</v>
      </c>
      <c r="D3" s="1" t="s">
        <v>4</v>
      </c>
      <c r="E3" s="1" t="s">
        <v>3657</v>
      </c>
    </row>
    <row r="4" spans="1:8">
      <c r="A4" s="5" t="s">
        <v>3658</v>
      </c>
      <c r="B4">
        <f>COUNTA(tblEmployees[Employee_ID])</f>
        <v>500</v>
      </c>
      <c r="D4" t="s">
        <v>15</v>
      </c>
      <c r="E4">
        <f>COUNTIF(tblEmployees[Department],"HR")</f>
        <v>63</v>
      </c>
    </row>
    <row r="5" spans="1:8">
      <c r="A5" s="5" t="s">
        <v>3659</v>
      </c>
      <c r="B5">
        <f>COUNTIF(tblEmployees[Employment_Status],"Active")</f>
        <v>334</v>
      </c>
      <c r="D5" t="s">
        <v>25</v>
      </c>
      <c r="E5">
        <f>COUNTIF(tblEmployees[Department],"Admin")</f>
        <v>63</v>
      </c>
    </row>
    <row r="6" spans="1:8">
      <c r="A6" s="5" t="s">
        <v>3660</v>
      </c>
      <c r="B6">
        <f>COUNTIF(tblAttendance[Status],"Present")</f>
        <v>300</v>
      </c>
      <c r="D6" t="s">
        <v>33</v>
      </c>
      <c r="E6">
        <f>COUNTIF(tblEmployees[Department],"Sales")</f>
        <v>63</v>
      </c>
    </row>
    <row r="7" spans="1:8">
      <c r="A7" s="5" t="s">
        <v>3661</v>
      </c>
      <c r="B7">
        <f>COUNTIF(tblAttendance[Status],"Absent")</f>
        <v>100</v>
      </c>
      <c r="D7" t="s">
        <v>41</v>
      </c>
      <c r="E7">
        <f>COUNTIF(tblEmployees[Department],"IT")</f>
        <v>63</v>
      </c>
    </row>
    <row r="8" spans="1:8">
      <c r="A8" s="5" t="s">
        <v>3662</v>
      </c>
      <c r="B8">
        <f>COUNTIF(tblLeave[Status],"Pending")</f>
        <v>200</v>
      </c>
      <c r="D8" t="s">
        <v>50</v>
      </c>
      <c r="E8">
        <f>COUNTIF(tblEmployees[Department],"Support")</f>
        <v>62</v>
      </c>
    </row>
    <row r="9" spans="1:8">
      <c r="A9" s="5" t="s">
        <v>3663</v>
      </c>
      <c r="B9">
        <f>COUNTIF(tblAssets[Status],"Assigned")</f>
        <v>300</v>
      </c>
      <c r="D9" t="s">
        <v>59</v>
      </c>
      <c r="E9">
        <f>COUNTIF(tblEmployees[Department],"Finance")</f>
        <v>62</v>
      </c>
    </row>
    <row r="10" spans="1:8">
      <c r="A10" s="5" t="s">
        <v>3664</v>
      </c>
      <c r="B10">
        <f>COUNTIF(tblDocuments[Verification_Status],"Pending")</f>
        <v>291</v>
      </c>
      <c r="D10" t="s">
        <v>67</v>
      </c>
      <c r="E10">
        <f>COUNTIF(tblEmployees[Department],"Operations")</f>
        <v>62</v>
      </c>
    </row>
    <row r="11" spans="1:8">
      <c r="A11" s="5" t="s">
        <v>3665</v>
      </c>
      <c r="B11" s="4">
        <f>SUM(tblAttendance[Working_Hours])/COUNT(tblAttendance[Working_Hours])</f>
        <v>0.36945312499999999</v>
      </c>
      <c r="D11" t="s">
        <v>75</v>
      </c>
      <c r="E11">
        <f>COUNTIF(tblEmployees[Department],"Marketing")</f>
        <v>62</v>
      </c>
    </row>
    <row r="14" spans="1:8">
      <c r="A14" s="1" t="s">
        <v>3666</v>
      </c>
      <c r="B14" s="1" t="s">
        <v>3667</v>
      </c>
      <c r="D14" s="1" t="s">
        <v>3668</v>
      </c>
      <c r="E14" s="1" t="s">
        <v>3667</v>
      </c>
    </row>
    <row r="15" spans="1:8">
      <c r="A15" t="s">
        <v>1610</v>
      </c>
      <c r="B15">
        <f>COUNTIF(tblAttendance[Status],"Present")</f>
        <v>300</v>
      </c>
      <c r="D15" t="s">
        <v>3669</v>
      </c>
      <c r="E15">
        <f>COUNTIF(tblDocuments[Verification_Status],"Completed")</f>
        <v>209</v>
      </c>
    </row>
    <row r="16" spans="1:8">
      <c r="A16" t="s">
        <v>1613</v>
      </c>
      <c r="B16">
        <f>COUNTIF(tblAttendance[Status],"Absent")</f>
        <v>100</v>
      </c>
      <c r="D16" t="s">
        <v>2120</v>
      </c>
      <c r="E16">
        <f>COUNTIF(tblDocuments[Verification_Status],"Pending")</f>
        <v>291</v>
      </c>
    </row>
    <row r="17" spans="1:2">
      <c r="A17" t="s">
        <v>1615</v>
      </c>
      <c r="B17">
        <f>COUNTIF(tblAttendance[Status],"Late")</f>
        <v>100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</vt:lpstr>
      <vt:lpstr>Attendance</vt:lpstr>
      <vt:lpstr>Leave</vt:lpstr>
      <vt:lpstr>Assets</vt:lpstr>
      <vt:lpstr>Documents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arshad sayyad</dc:creator>
  <cp:lastModifiedBy>arshad sayyad</cp:lastModifiedBy>
  <dcterms:created xsi:type="dcterms:W3CDTF">2026-07-03T10:40:42Z</dcterms:created>
  <dcterms:modified xsi:type="dcterms:W3CDTF">2026-07-03T10:40:43Z</dcterms:modified>
</cp:coreProperties>
</file>